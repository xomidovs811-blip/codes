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obot" sheetId="1" state="visible" r:id="rId1"/>
    <sheet name="Qatorlar" sheetId="2" state="visible" r:id="rId2"/>
  </sheets>
  <definedNames>
    <definedName name="_xlnm.Print_Area" localSheetId="0">'Hisobot'!$A$1:$P$26</definedName>
    <definedName name="_xlnm._FilterDatabase" localSheetId="1" hidden="1">'Qatorlar'!$A$1:$S$32</definedName>
    <definedName name="_xlnm.Print_Titles" localSheetId="1">'Qatorlar'!$1:$1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yyyy-mm-dd h:mm:ss"/>
    <numFmt numFmtId="167" formatCode="DD.MM.YYYY HH:MM"/>
    <numFmt numFmtId="168" formatCode="#,##0.##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7365D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274E13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5FB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0" fillId="2" borderId="1" pivotButton="0" quotePrefix="0" xfId="0"/>
    <xf numFmtId="3" fontId="6" fillId="2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168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8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6" customWidth="1" min="4" max="4"/>
    <col width="24" customWidth="1" min="5" max="5"/>
    <col width="18" customWidth="1" min="6" max="6"/>
    <col width="15" customWidth="1" min="7" max="7"/>
    <col width="8" customWidth="1" min="8" max="8"/>
    <col width="17" customWidth="1" min="9" max="9"/>
    <col width="17" customWidth="1" min="10" max="10"/>
    <col width="17" customWidth="1" min="11" max="11"/>
    <col width="18" customWidth="1" min="12" max="12"/>
    <col width="9" customWidth="1" min="13" max="13"/>
    <col width="22" customWidth="1" min="14" max="14"/>
    <col width="22" customWidth="1" min="15" max="15"/>
    <col width="22" customWidth="1" min="16" max="16"/>
  </cols>
  <sheetData>
    <row r="1" ht="28" customHeight="1">
      <c r="A1" s="1" t="inlineStr">
        <is>
          <t>ZAYAVKALAR HISOBOTI</t>
        </is>
      </c>
    </row>
    <row r="2" ht="20" customHeight="1">
      <c r="A2" s="2" t="inlineStr">
        <is>
          <t>Hisobot yaratilgan:</t>
        </is>
      </c>
      <c r="B2" s="3" t="n"/>
      <c r="C2" s="3" t="n"/>
      <c r="D2" s="4" t="inlineStr">
        <is>
          <t>19.09.2026 11:29</t>
        </is>
      </c>
      <c r="E2" s="3" t="n"/>
      <c r="F2" s="3" t="n"/>
    </row>
    <row r="3" ht="20" customHeight="1">
      <c r="A3" s="2" t="inlineStr">
        <is>
          <t>Kim yubordi:</t>
        </is>
      </c>
      <c r="B3" s="3" t="n"/>
      <c r="C3" s="3" t="n"/>
      <c r="D3" s="4" t="inlineStr">
        <is>
          <t>Sardor T</t>
        </is>
      </c>
      <c r="E3" s="3" t="n"/>
      <c r="F3" s="3" t="n"/>
    </row>
    <row r="4" ht="20" customHeight="1">
      <c r="A4" s="2" t="inlineStr">
        <is>
          <t>Название объекта:</t>
        </is>
      </c>
      <c r="B4" s="3" t="n"/>
      <c r="C4" s="3" t="n"/>
      <c r="D4" s="4" t="inlineStr">
        <is>
          <t>Barchasi</t>
        </is>
      </c>
      <c r="E4" s="3" t="n"/>
      <c r="F4" s="3" t="n"/>
    </row>
    <row r="5" ht="20" customHeight="1">
      <c r="A5" s="2" t="inlineStr">
        <is>
          <t>От кого:</t>
        </is>
      </c>
      <c r="B5" s="3" t="n"/>
      <c r="C5" s="3" t="n"/>
      <c r="D5" s="4" t="inlineStr">
        <is>
          <t>Barchasi</t>
        </is>
      </c>
      <c r="E5" s="3" t="n"/>
      <c r="F5" s="3" t="n"/>
    </row>
    <row r="6" ht="20" customHeight="1">
      <c r="A6" s="2" t="inlineStr">
        <is>
          <t>Sana oralig'i (Дата):</t>
        </is>
      </c>
      <c r="B6" s="3" t="n"/>
      <c r="C6" s="3" t="n"/>
      <c r="D6" s="4" t="inlineStr">
        <is>
          <t>Barchasi</t>
        </is>
      </c>
      <c r="E6" s="3" t="n"/>
      <c r="F6" s="3" t="n"/>
    </row>
    <row r="7" ht="20" customHeight="1">
      <c r="A7" s="2" t="inlineStr">
        <is>
          <t>Zayavkalar soni:</t>
        </is>
      </c>
      <c r="B7" s="3" t="n"/>
      <c r="C7" s="3" t="n"/>
      <c r="D7" s="4" t="inlineStr">
        <is>
          <t>16 ta zayavka, 31 ta qator ("Qatorlar" varag'ida)</t>
        </is>
      </c>
      <c r="E7" s="3" t="n"/>
      <c r="F7" s="3" t="n"/>
    </row>
    <row r="9" ht="32" customHeight="1">
      <c r="A9" s="5" t="inlineStr">
        <is>
          <t>Т/р</t>
        </is>
      </c>
      <c r="B9" s="5" t="inlineStr">
        <is>
          <t>Номер заявки</t>
        </is>
      </c>
      <c r="C9" s="5" t="inlineStr">
        <is>
          <t>Дата</t>
        </is>
      </c>
      <c r="D9" s="5" t="inlineStr">
        <is>
          <t>Название объекта</t>
        </is>
      </c>
      <c r="E9" s="5" t="inlineStr">
        <is>
          <t>От кого</t>
        </is>
      </c>
      <c r="F9" s="5" t="inlineStr">
        <is>
          <t>Кому</t>
        </is>
      </c>
      <c r="G9" s="5" t="inlineStr">
        <is>
          <t>Вид оплаты</t>
        </is>
      </c>
      <c r="H9" s="5" t="inlineStr">
        <is>
          <t>Qator</t>
        </is>
      </c>
      <c r="I9" s="5" t="inlineStr">
        <is>
          <t>Общая сумма</t>
        </is>
      </c>
      <c r="J9" s="5" t="inlineStr">
        <is>
          <t>Аванс получил</t>
        </is>
      </c>
      <c r="K9" s="5" t="inlineStr">
        <is>
          <t>Остатка</t>
        </is>
      </c>
      <c r="L9" s="5" t="inlineStr">
        <is>
          <t>Oxirgi yuborilgan</t>
        </is>
      </c>
      <c r="M9" s="5" t="inlineStr">
        <is>
          <t>Versiya</t>
        </is>
      </c>
      <c r="N9" s="5" t="inlineStr">
        <is>
          <t>Инспектор</t>
        </is>
      </c>
      <c r="O9" s="5" t="inlineStr">
        <is>
          <t>Кассир</t>
        </is>
      </c>
      <c r="P9" s="5" t="inlineStr">
        <is>
          <t>Техданзор</t>
        </is>
      </c>
    </row>
    <row r="10" ht="21" customHeight="1">
      <c r="A10" s="6" t="n">
        <v>1</v>
      </c>
      <c r="B10" s="7" t="inlineStr">
        <is>
          <t>19-9-29-Х-А</t>
        </is>
      </c>
      <c r="C10" s="8" t="n">
        <v>46284</v>
      </c>
      <c r="D10" s="9" t="inlineStr">
        <is>
          <t>Хаваси</t>
        </is>
      </c>
      <c r="E10" s="9" t="inlineStr">
        <is>
          <t>Асадов Сухроб</t>
        </is>
      </c>
      <c r="F10" s="9" t="inlineStr">
        <is>
          <t>Далеров А.Д</t>
        </is>
      </c>
      <c r="G10" s="9" t="inlineStr">
        <is>
          <t>Накт</t>
        </is>
      </c>
      <c r="H10" s="6" t="n">
        <v>2</v>
      </c>
      <c r="I10" s="10" t="n">
        <v>41666000</v>
      </c>
      <c r="J10" s="10" t="n">
        <v>0</v>
      </c>
      <c r="K10" s="11" t="n">
        <v>41666000</v>
      </c>
      <c r="L10" s="12" t="n">
        <v>46284.4669193986</v>
      </c>
      <c r="M10" s="6" t="n">
        <v>3</v>
      </c>
      <c r="N10" s="9" t="inlineStr"/>
      <c r="O10" s="9" t="inlineStr"/>
      <c r="P10" s="9" t="inlineStr"/>
    </row>
    <row r="11" ht="21" customHeight="1">
      <c r="A11" s="6" t="n">
        <v>2</v>
      </c>
      <c r="B11" s="7" t="inlineStr">
        <is>
          <t>19-9-26-15-Х-К</t>
        </is>
      </c>
      <c r="C11" s="8" t="n">
        <v>46284</v>
      </c>
      <c r="D11" s="9" t="inlineStr">
        <is>
          <t>Хаваси</t>
        </is>
      </c>
      <c r="E11" s="9" t="inlineStr">
        <is>
          <t>Курбонов Равшан</t>
        </is>
      </c>
      <c r="F11" s="9" t="inlineStr">
        <is>
          <t>Далеров А.Д</t>
        </is>
      </c>
      <c r="G11" s="9" t="inlineStr">
        <is>
          <t>Накт</t>
        </is>
      </c>
      <c r="H11" s="6" t="n">
        <v>3</v>
      </c>
      <c r="I11" s="10" t="n">
        <v>210000000</v>
      </c>
      <c r="J11" s="10" t="n">
        <v>0</v>
      </c>
      <c r="K11" s="11" t="n">
        <v>210000000</v>
      </c>
      <c r="L11" s="12" t="n">
        <v>46284.40903242074</v>
      </c>
      <c r="M11" s="6" t="n">
        <v>3</v>
      </c>
      <c r="N11" s="9" t="inlineStr"/>
      <c r="O11" s="9" t="inlineStr"/>
      <c r="P11" s="9" t="inlineStr"/>
    </row>
    <row r="12" ht="21" customHeight="1">
      <c r="A12" s="6" t="n">
        <v>3</v>
      </c>
      <c r="B12" s="7" t="inlineStr">
        <is>
          <t>18-9-26-60-Х-К</t>
        </is>
      </c>
      <c r="C12" s="8" t="n">
        <v>46283</v>
      </c>
      <c r="D12" s="9" t="inlineStr">
        <is>
          <t>Хаваси</t>
        </is>
      </c>
      <c r="E12" s="9" t="inlineStr">
        <is>
          <t>Курбонов Равшан</t>
        </is>
      </c>
      <c r="F12" s="9" t="inlineStr">
        <is>
          <t>Далеров А.Д</t>
        </is>
      </c>
      <c r="G12" s="9" t="inlineStr">
        <is>
          <t>Накт</t>
        </is>
      </c>
      <c r="H12" s="6" t="n">
        <v>2</v>
      </c>
      <c r="I12" s="10" t="n">
        <v>75500000</v>
      </c>
      <c r="J12" s="10" t="n">
        <v>0</v>
      </c>
      <c r="K12" s="11" t="n">
        <v>75500000</v>
      </c>
      <c r="L12" s="12" t="n">
        <v>46283.75731223745</v>
      </c>
      <c r="M12" s="6" t="n">
        <v>1</v>
      </c>
      <c r="N12" s="9" t="inlineStr">
        <is>
          <t>Narziqulov Surat</t>
        </is>
      </c>
      <c r="O12" s="9" t="inlineStr">
        <is>
          <t>Xamraeva Shoxsanam</t>
        </is>
      </c>
      <c r="P12" s="9" t="inlineStr">
        <is>
          <t>Saloxiddinov Rustam</t>
        </is>
      </c>
    </row>
    <row r="13" ht="21" customHeight="1">
      <c r="A13" s="6" t="n">
        <v>4</v>
      </c>
      <c r="B13" s="7" t="inlineStr">
        <is>
          <t>18-9-26-10-Я-И</t>
        </is>
      </c>
      <c r="C13" s="8" t="n">
        <v>46283</v>
      </c>
      <c r="D13" s="9" t="inlineStr">
        <is>
          <t>Янги Шодиёна</t>
        </is>
      </c>
      <c r="E13" s="9" t="inlineStr">
        <is>
          <t>Игамбердиев Далер</t>
        </is>
      </c>
      <c r="F13" s="9" t="inlineStr">
        <is>
          <t>Далеров А.Д</t>
        </is>
      </c>
      <c r="G13" s="9" t="inlineStr">
        <is>
          <t>Накт</t>
        </is>
      </c>
      <c r="H13" s="6" t="n">
        <v>4</v>
      </c>
      <c r="I13" s="10" t="n">
        <v>33000000</v>
      </c>
      <c r="J13" s="10" t="n">
        <v>1000000</v>
      </c>
      <c r="K13" s="11" t="n">
        <v>32000000</v>
      </c>
      <c r="L13" s="12" t="n">
        <v>46283.69951840226</v>
      </c>
      <c r="M13" s="6" t="n">
        <v>1</v>
      </c>
      <c r="N13" s="9" t="inlineStr">
        <is>
          <t>Narziqulov Surat</t>
        </is>
      </c>
      <c r="O13" s="9" t="inlineStr">
        <is>
          <t>Xamraeva Shoxsanam</t>
        </is>
      </c>
      <c r="P13" s="9" t="inlineStr">
        <is>
          <t>Saloxiddinov Rustam</t>
        </is>
      </c>
    </row>
    <row r="14" ht="21" customHeight="1">
      <c r="A14" s="6" t="n">
        <v>5</v>
      </c>
      <c r="B14" s="7" t="inlineStr">
        <is>
          <t>18-9-26-19-З-К</t>
        </is>
      </c>
      <c r="C14" s="8" t="n">
        <v>46283</v>
      </c>
      <c r="D14" s="9" t="inlineStr">
        <is>
          <t>Зармед Университет</t>
        </is>
      </c>
      <c r="E14" s="9" t="inlineStr">
        <is>
          <t>Курбонов Равшан</t>
        </is>
      </c>
      <c r="F14" s="9" t="inlineStr">
        <is>
          <t>Далеров А.Д</t>
        </is>
      </c>
      <c r="G14" s="9" t="inlineStr">
        <is>
          <t>Накт</t>
        </is>
      </c>
      <c r="H14" s="6" t="n">
        <v>2</v>
      </c>
      <c r="I14" s="10" t="n">
        <v>192000000</v>
      </c>
      <c r="J14" s="10" t="n">
        <v>0</v>
      </c>
      <c r="K14" s="11" t="n">
        <v>192000000</v>
      </c>
      <c r="L14" s="12" t="n">
        <v>46283.67457876522</v>
      </c>
      <c r="M14" s="6" t="n">
        <v>1</v>
      </c>
      <c r="N14" s="9" t="inlineStr">
        <is>
          <t>Narziqulov Surat</t>
        </is>
      </c>
      <c r="O14" s="9" t="inlineStr">
        <is>
          <t>Xamraeva Shoxsanam</t>
        </is>
      </c>
      <c r="P14" s="9" t="inlineStr">
        <is>
          <t>Saloxiddinov Rustam</t>
        </is>
      </c>
    </row>
    <row r="15" ht="21" customHeight="1">
      <c r="A15" s="6" t="n">
        <v>6</v>
      </c>
      <c r="B15" s="7" t="inlineStr">
        <is>
          <t>18-9-26-25-З-Ф</t>
        </is>
      </c>
      <c r="C15" s="8" t="n">
        <v>46283</v>
      </c>
      <c r="D15" s="9" t="inlineStr">
        <is>
          <t>Зармед Университет</t>
        </is>
      </c>
      <c r="E15" s="9" t="inlineStr">
        <is>
          <t>Фахриев Азим</t>
        </is>
      </c>
      <c r="F15" s="9" t="inlineStr">
        <is>
          <t>Далеров А.Д</t>
        </is>
      </c>
      <c r="G15" s="9" t="inlineStr">
        <is>
          <t>Накт</t>
        </is>
      </c>
      <c r="H15" s="6" t="n">
        <v>3</v>
      </c>
      <c r="I15" s="10" t="n">
        <v>6900000</v>
      </c>
      <c r="J15" s="10" t="n">
        <v>0</v>
      </c>
      <c r="K15" s="11" t="n">
        <v>6900000</v>
      </c>
      <c r="L15" s="12" t="n">
        <v>46283.66458905584</v>
      </c>
      <c r="M15" s="6" t="n">
        <v>1</v>
      </c>
      <c r="N15" s="9" t="inlineStr">
        <is>
          <t>Narziqulov Surat</t>
        </is>
      </c>
      <c r="O15" s="9" t="inlineStr">
        <is>
          <t>Xamraeva Shoxsanam</t>
        </is>
      </c>
      <c r="P15" s="9" t="inlineStr">
        <is>
          <t>Saloxiddinov Rustam</t>
        </is>
      </c>
    </row>
    <row r="16" ht="21" customHeight="1">
      <c r="A16" s="6" t="n">
        <v>7</v>
      </c>
      <c r="B16" s="7" t="inlineStr">
        <is>
          <t>18-9-26-12-З-К</t>
        </is>
      </c>
      <c r="C16" s="8" t="n">
        <v>46283</v>
      </c>
      <c r="D16" s="9" t="inlineStr">
        <is>
          <t>Зармед Университет</t>
        </is>
      </c>
      <c r="E16" s="9" t="inlineStr">
        <is>
          <t>Курбонов Равшан</t>
        </is>
      </c>
      <c r="F16" s="9" t="inlineStr">
        <is>
          <t>Далеров А.Д</t>
        </is>
      </c>
      <c r="G16" s="9" t="inlineStr">
        <is>
          <t>Накт</t>
        </is>
      </c>
      <c r="H16" s="6" t="n">
        <v>1</v>
      </c>
      <c r="I16" s="10" t="n">
        <v>1221221</v>
      </c>
      <c r="J16" s="10" t="n">
        <v>0</v>
      </c>
      <c r="K16" s="11" t="n">
        <v>1221221</v>
      </c>
      <c r="L16" s="12" t="n">
        <v>46283.65301173919</v>
      </c>
      <c r="M16" s="6" t="n">
        <v>1</v>
      </c>
      <c r="N16" s="9" t="inlineStr"/>
      <c r="O16" s="9" t="inlineStr"/>
      <c r="P16" s="9" t="inlineStr"/>
    </row>
    <row r="17" ht="21" customHeight="1">
      <c r="A17" s="6" t="n">
        <v>8</v>
      </c>
      <c r="B17" s="7" t="inlineStr">
        <is>
          <t>18-9-26-17-Я-К</t>
        </is>
      </c>
      <c r="C17" s="8" t="n">
        <v>46283</v>
      </c>
      <c r="D17" s="9" t="inlineStr">
        <is>
          <t>Янги Шодиёна</t>
        </is>
      </c>
      <c r="E17" s="9" t="inlineStr">
        <is>
          <t>Курбонов Равшан</t>
        </is>
      </c>
      <c r="F17" s="9" t="inlineStr">
        <is>
          <t>Далеров А.Д</t>
        </is>
      </c>
      <c r="G17" s="9" t="inlineStr">
        <is>
          <t>Накт</t>
        </is>
      </c>
      <c r="H17" s="6" t="n">
        <v>5</v>
      </c>
      <c r="I17" s="10" t="n">
        <v>13020000</v>
      </c>
      <c r="J17" s="10" t="n">
        <v>2000000</v>
      </c>
      <c r="K17" s="11" t="n">
        <v>11020000</v>
      </c>
      <c r="L17" s="12" t="n">
        <v>46283.64110005226</v>
      </c>
      <c r="M17" s="6" t="n">
        <v>1</v>
      </c>
      <c r="N17" s="9" t="inlineStr">
        <is>
          <t>Narziqulov Surat</t>
        </is>
      </c>
      <c r="O17" s="9" t="inlineStr">
        <is>
          <t>Xamraeva Shoxsanam</t>
        </is>
      </c>
      <c r="P17" s="9" t="inlineStr">
        <is>
          <t>Saloxiddinov Rustam</t>
        </is>
      </c>
    </row>
    <row r="18" ht="21" customHeight="1">
      <c r="A18" s="6" t="n">
        <v>9</v>
      </c>
      <c r="B18" s="7" t="inlineStr">
        <is>
          <t>18-9-26-11-Я-К</t>
        </is>
      </c>
      <c r="C18" s="8" t="n">
        <v>46283</v>
      </c>
      <c r="D18" s="9" t="inlineStr">
        <is>
          <t>Янги Шодиёна</t>
        </is>
      </c>
      <c r="E18" s="9" t="inlineStr">
        <is>
          <t>Курбонов Равшан</t>
        </is>
      </c>
      <c r="F18" s="9" t="inlineStr">
        <is>
          <t>Далеров А.Д</t>
        </is>
      </c>
      <c r="G18" s="9" t="inlineStr">
        <is>
          <t>Накт</t>
        </is>
      </c>
      <c r="H18" s="6" t="n">
        <v>1</v>
      </c>
      <c r="I18" s="10" t="n">
        <v>1100000000</v>
      </c>
      <c r="J18" s="10" t="n">
        <v>0</v>
      </c>
      <c r="K18" s="11" t="n">
        <v>1100000000</v>
      </c>
      <c r="L18" s="12" t="n">
        <v>46283.59782425492</v>
      </c>
      <c r="M18" s="6" t="n">
        <v>1</v>
      </c>
      <c r="N18" s="9" t="inlineStr"/>
      <c r="O18" s="9" t="inlineStr"/>
      <c r="P18" s="9" t="inlineStr"/>
    </row>
    <row r="19" ht="21" customHeight="1">
      <c r="A19" s="6" t="n">
        <v>10</v>
      </c>
      <c r="B19" s="7" t="inlineStr">
        <is>
          <t>18-9-26-10-Я-К</t>
        </is>
      </c>
      <c r="C19" s="8" t="n">
        <v>46283</v>
      </c>
      <c r="D19" s="9" t="inlineStr">
        <is>
          <t>Янги Шодиёна</t>
        </is>
      </c>
      <c r="E19" s="9" t="inlineStr">
        <is>
          <t>Курбонов Равшан</t>
        </is>
      </c>
      <c r="F19" s="9" t="inlineStr">
        <is>
          <t>Далеров А.Д</t>
        </is>
      </c>
      <c r="G19" s="9" t="inlineStr">
        <is>
          <t>Накт</t>
        </is>
      </c>
      <c r="H19" s="6" t="n">
        <v>1</v>
      </c>
      <c r="I19" s="10" t="n">
        <v>10000000</v>
      </c>
      <c r="J19" s="10" t="n">
        <v>0</v>
      </c>
      <c r="K19" s="11" t="n">
        <v>10000000</v>
      </c>
      <c r="L19" s="12" t="n">
        <v>46283.59338291416</v>
      </c>
      <c r="M19" s="6" t="n">
        <v>1</v>
      </c>
      <c r="N19" s="9" t="inlineStr"/>
      <c r="O19" s="9" t="inlineStr"/>
      <c r="P19" s="9" t="inlineStr"/>
    </row>
    <row r="20" ht="21" customHeight="1">
      <c r="A20" s="6" t="n">
        <v>11</v>
      </c>
      <c r="B20" s="7" t="inlineStr">
        <is>
          <t>18-9-26-10-Х-К-3</t>
        </is>
      </c>
      <c r="C20" s="8" t="n">
        <v>46283</v>
      </c>
      <c r="D20" s="9" t="inlineStr">
        <is>
          <t>Хаваси</t>
        </is>
      </c>
      <c r="E20" s="9" t="inlineStr">
        <is>
          <t>Курбонов Равшан</t>
        </is>
      </c>
      <c r="F20" s="9" t="inlineStr">
        <is>
          <t>Далеров А.Д</t>
        </is>
      </c>
      <c r="G20" s="9" t="inlineStr">
        <is>
          <t>Накт</t>
        </is>
      </c>
      <c r="H20" s="6" t="n">
        <v>1</v>
      </c>
      <c r="I20" s="10" t="n">
        <v>10000000</v>
      </c>
      <c r="J20" s="10" t="n">
        <v>0</v>
      </c>
      <c r="K20" s="11" t="n">
        <v>10000000</v>
      </c>
      <c r="L20" s="12" t="n">
        <v>46283.52506438216</v>
      </c>
      <c r="M20" s="6" t="n">
        <v>1</v>
      </c>
      <c r="N20" s="9" t="inlineStr"/>
      <c r="O20" s="9" t="inlineStr"/>
      <c r="P20" s="9" t="inlineStr"/>
    </row>
    <row r="21" ht="21" customHeight="1">
      <c r="A21" s="6" t="n">
        <v>12</v>
      </c>
      <c r="B21" s="7" t="inlineStr">
        <is>
          <t>18-9-26-10-З-К</t>
        </is>
      </c>
      <c r="C21" s="8" t="n">
        <v>46283</v>
      </c>
      <c r="D21" s="9" t="inlineStr">
        <is>
          <t>Зармед Университет</t>
        </is>
      </c>
      <c r="E21" s="9" t="inlineStr">
        <is>
          <t>Курбонов Равшан</t>
        </is>
      </c>
      <c r="F21" s="9" t="inlineStr">
        <is>
          <t>Далеров А.Д</t>
        </is>
      </c>
      <c r="G21" s="9" t="inlineStr">
        <is>
          <t>Накт</t>
        </is>
      </c>
      <c r="H21" s="6" t="n">
        <v>1</v>
      </c>
      <c r="I21" s="10" t="n">
        <v>10000000</v>
      </c>
      <c r="J21" s="10" t="n">
        <v>0</v>
      </c>
      <c r="K21" s="11" t="n">
        <v>10000000</v>
      </c>
      <c r="L21" s="12" t="n">
        <v>46283.5208028257</v>
      </c>
      <c r="M21" s="6" t="n">
        <v>1</v>
      </c>
      <c r="N21" s="9" t="inlineStr"/>
      <c r="O21" s="9" t="inlineStr"/>
      <c r="P21" s="9" t="inlineStr"/>
    </row>
    <row r="22" ht="21" customHeight="1">
      <c r="A22" s="6" t="n">
        <v>13</v>
      </c>
      <c r="B22" s="7" t="inlineStr">
        <is>
          <t>18-9-26-11-З-К</t>
        </is>
      </c>
      <c r="C22" s="8" t="n">
        <v>46283</v>
      </c>
      <c r="D22" s="9" t="inlineStr">
        <is>
          <t>Зармед Университет</t>
        </is>
      </c>
      <c r="E22" s="9" t="inlineStr">
        <is>
          <t>Курбонов Равшан</t>
        </is>
      </c>
      <c r="F22" s="9" t="inlineStr">
        <is>
          <t>Далеров А.Д</t>
        </is>
      </c>
      <c r="G22" s="9" t="inlineStr">
        <is>
          <t>Перечесление</t>
        </is>
      </c>
      <c r="H22" s="6" t="n">
        <v>1</v>
      </c>
      <c r="I22" s="10" t="n">
        <v>110000000</v>
      </c>
      <c r="J22" s="10" t="n">
        <v>0</v>
      </c>
      <c r="K22" s="11" t="n">
        <v>110000000</v>
      </c>
      <c r="L22" s="12" t="n">
        <v>46283.51625108259</v>
      </c>
      <c r="M22" s="6" t="n">
        <v>1</v>
      </c>
      <c r="N22" s="9" t="inlineStr"/>
      <c r="O22" s="9" t="inlineStr"/>
      <c r="P22" s="9" t="inlineStr"/>
    </row>
    <row r="23" ht="21" customHeight="1">
      <c r="A23" s="6" t="n">
        <v>14</v>
      </c>
      <c r="B23" s="7" t="inlineStr">
        <is>
          <t>18-9-26-10-Х-К-2</t>
        </is>
      </c>
      <c r="C23" s="8" t="n">
        <v>46283</v>
      </c>
      <c r="D23" s="9" t="inlineStr">
        <is>
          <t>Хаваси</t>
        </is>
      </c>
      <c r="E23" s="9" t="inlineStr">
        <is>
          <t>Курбонов Равшан</t>
        </is>
      </c>
      <c r="F23" s="9" t="inlineStr">
        <is>
          <t>Далеров А.Д</t>
        </is>
      </c>
      <c r="G23" s="9" t="inlineStr">
        <is>
          <t>Накт</t>
        </is>
      </c>
      <c r="H23" s="6" t="n">
        <v>1</v>
      </c>
      <c r="I23" s="10" t="n">
        <v>10000000</v>
      </c>
      <c r="J23" s="10" t="n">
        <v>0</v>
      </c>
      <c r="K23" s="11" t="n">
        <v>10000000</v>
      </c>
      <c r="L23" s="12" t="n">
        <v>46283.50178929835</v>
      </c>
      <c r="M23" s="6" t="n">
        <v>1</v>
      </c>
      <c r="N23" s="9" t="inlineStr"/>
      <c r="O23" s="9" t="inlineStr"/>
      <c r="P23" s="9" t="inlineStr"/>
    </row>
    <row r="24" ht="21" customHeight="1">
      <c r="A24" s="6" t="n">
        <v>15</v>
      </c>
      <c r="B24" s="7" t="inlineStr">
        <is>
          <t>18-9-26-10-Х-К</t>
        </is>
      </c>
      <c r="C24" s="8" t="n">
        <v>46283</v>
      </c>
      <c r="D24" s="9" t="inlineStr">
        <is>
          <t>Хаваси</t>
        </is>
      </c>
      <c r="E24" s="9" t="inlineStr">
        <is>
          <t>Курбонов Равшан</t>
        </is>
      </c>
      <c r="F24" s="9" t="inlineStr">
        <is>
          <t>Далеров А.Д</t>
        </is>
      </c>
      <c r="G24" s="9" t="inlineStr">
        <is>
          <t>Накт</t>
        </is>
      </c>
      <c r="H24" s="6" t="n">
        <v>1</v>
      </c>
      <c r="I24" s="10" t="n">
        <v>10000000</v>
      </c>
      <c r="J24" s="10" t="n">
        <v>0</v>
      </c>
      <c r="K24" s="11" t="n">
        <v>10000000</v>
      </c>
      <c r="L24" s="12" t="n">
        <v>46283.4794589222</v>
      </c>
      <c r="M24" s="6" t="n">
        <v>1</v>
      </c>
      <c r="N24" s="9" t="inlineStr"/>
      <c r="O24" s="9" t="inlineStr"/>
      <c r="P24" s="9" t="inlineStr"/>
    </row>
    <row r="25" ht="21" customHeight="1">
      <c r="A25" s="6" t="n">
        <v>16</v>
      </c>
      <c r="B25" s="7" t="inlineStr">
        <is>
          <t>18-9-26-11-Г-К</t>
        </is>
      </c>
      <c r="C25" s="8" t="n">
        <v>46283</v>
      </c>
      <c r="D25" s="9" t="inlineStr">
        <is>
          <t>Гагарин дом</t>
        </is>
      </c>
      <c r="E25" s="9" t="inlineStr">
        <is>
          <t>Курбонов Равшан</t>
        </is>
      </c>
      <c r="F25" s="9" t="inlineStr">
        <is>
          <t>Далеров А.Д</t>
        </is>
      </c>
      <c r="G25" s="9" t="inlineStr">
        <is>
          <t>Накт</t>
        </is>
      </c>
      <c r="H25" s="6" t="n">
        <v>2</v>
      </c>
      <c r="I25" s="10" t="n">
        <v>11700000</v>
      </c>
      <c r="J25" s="10" t="n">
        <v>5000000</v>
      </c>
      <c r="K25" s="11" t="n">
        <v>6700000</v>
      </c>
      <c r="L25" s="12" t="n">
        <v>46283.47035825127</v>
      </c>
      <c r="M25" s="6" t="n">
        <v>1</v>
      </c>
      <c r="N25" s="9" t="inlineStr"/>
      <c r="O25" s="9" t="inlineStr"/>
      <c r="P25" s="9" t="inlineStr"/>
    </row>
    <row r="26" ht="24" customHeight="1">
      <c r="A26" s="13" t="inlineStr">
        <is>
          <t>JAMI</t>
        </is>
      </c>
      <c r="B26" s="14" t="n"/>
      <c r="C26" s="14" t="n"/>
      <c r="D26" s="14" t="n"/>
      <c r="E26" s="14" t="n"/>
      <c r="F26" s="14" t="n"/>
      <c r="G26" s="14" t="n"/>
      <c r="H26" s="14" t="n"/>
      <c r="I26" s="15">
        <f>SUM(I10:I25)</f>
        <v/>
      </c>
      <c r="J26" s="15">
        <f>SUM(J10:J25)</f>
        <v/>
      </c>
      <c r="K26" s="16">
        <f>SUM(K10:K25)</f>
        <v/>
      </c>
      <c r="L26" s="14" t="n"/>
      <c r="M26" s="14" t="n"/>
      <c r="N26" s="14" t="n"/>
      <c r="O26" s="14" t="n"/>
      <c r="P26" s="14" t="n"/>
    </row>
  </sheetData>
  <mergeCells count="14">
    <mergeCell ref="D2:F2"/>
    <mergeCell ref="A26:H26"/>
    <mergeCell ref="D5:F5"/>
    <mergeCell ref="A5:C5"/>
    <mergeCell ref="A1:P1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4" customWidth="1" min="4" max="4"/>
    <col width="22" customWidth="1" min="5" max="5"/>
    <col width="14" customWidth="1" min="6" max="6"/>
    <col width="5" customWidth="1" min="7" max="7"/>
    <col width="42" customWidth="1" min="8" max="8"/>
    <col width="22" customWidth="1" min="9" max="9"/>
    <col width="8" customWidth="1" min="10" max="10"/>
    <col width="8" customWidth="1" min="11" max="11"/>
    <col width="9" customWidth="1" min="12" max="12"/>
    <col width="10" customWidth="1" min="13" max="13"/>
    <col width="14" customWidth="1" min="14" max="14"/>
    <col width="16" customWidth="1" min="15" max="15"/>
    <col width="16" customWidth="1" min="16" max="16"/>
    <col width="16" customWidth="1" min="17" max="17"/>
    <col width="40" customWidth="1" min="18" max="18"/>
    <col width="26" customWidth="1" min="19" max="19"/>
  </cols>
  <sheetData>
    <row r="1" ht="34" customHeight="1">
      <c r="A1" s="5" t="inlineStr">
        <is>
          <t>Т/р</t>
        </is>
      </c>
      <c r="B1" s="5" t="inlineStr">
        <is>
          <t>Номер заявки</t>
        </is>
      </c>
      <c r="C1" s="5" t="inlineStr">
        <is>
          <t>Дата</t>
        </is>
      </c>
      <c r="D1" s="5" t="inlineStr">
        <is>
          <t>Название объекта</t>
        </is>
      </c>
      <c r="E1" s="5" t="inlineStr">
        <is>
          <t>От кого</t>
        </is>
      </c>
      <c r="F1" s="5" t="inlineStr">
        <is>
          <t>Вид оплаты</t>
        </is>
      </c>
      <c r="G1" s="5" t="inlineStr">
        <is>
          <t>№</t>
        </is>
      </c>
      <c r="H1" s="5" t="inlineStr">
        <is>
          <t>Наименование товара</t>
        </is>
      </c>
      <c r="I1" s="5" t="inlineStr">
        <is>
          <t>Поставщик</t>
        </is>
      </c>
      <c r="J1" s="5" t="inlineStr">
        <is>
          <t>Блок</t>
        </is>
      </c>
      <c r="K1" s="5" t="inlineStr">
        <is>
          <t>Этаж</t>
        </is>
      </c>
      <c r="L1" s="5" t="inlineStr">
        <is>
          <t>Ед.изм</t>
        </is>
      </c>
      <c r="M1" s="5" t="inlineStr">
        <is>
          <t>Кол-во</t>
        </is>
      </c>
      <c r="N1" s="5" t="inlineStr">
        <is>
          <t>Цена</t>
        </is>
      </c>
      <c r="O1" s="5" t="inlineStr">
        <is>
          <t>Общая сумма</t>
        </is>
      </c>
      <c r="P1" s="5" t="inlineStr">
        <is>
          <t>Аванс получил</t>
        </is>
      </c>
      <c r="Q1" s="5" t="inlineStr">
        <is>
          <t>Остатка</t>
        </is>
      </c>
      <c r="R1" s="5" t="inlineStr">
        <is>
          <t>Выполняемая работа (сметная группа)</t>
        </is>
      </c>
      <c r="S1" s="5" t="inlineStr">
        <is>
          <t>Комментарие</t>
        </is>
      </c>
    </row>
    <row r="2">
      <c r="A2" s="17" t="n">
        <v>1</v>
      </c>
      <c r="B2" s="18" t="inlineStr">
        <is>
          <t>19-9-29-Х-А</t>
        </is>
      </c>
      <c r="C2" s="19" t="n">
        <v>46284</v>
      </c>
      <c r="D2" s="20" t="inlineStr">
        <is>
          <t>Хаваси</t>
        </is>
      </c>
      <c r="E2" s="20" t="inlineStr">
        <is>
          <t>Асадов Сухроб</t>
        </is>
      </c>
      <c r="F2" s="20" t="inlineStr">
        <is>
          <t>Накт</t>
        </is>
      </c>
      <c r="G2" s="17" t="n">
        <v>1</v>
      </c>
      <c r="H2" s="21" t="inlineStr">
        <is>
          <t>dasdasdasdads</t>
        </is>
      </c>
      <c r="I2" s="20" t="inlineStr">
        <is>
          <t>Faridun usta</t>
        </is>
      </c>
      <c r="J2" s="17" t="inlineStr">
        <is>
          <t>d</t>
        </is>
      </c>
      <c r="K2" s="17" t="inlineStr"/>
      <c r="L2" s="17" t="inlineStr"/>
      <c r="M2" s="22" t="n">
        <v>1000</v>
      </c>
      <c r="N2" s="11" t="n">
        <v>16666</v>
      </c>
      <c r="O2" s="11">
        <f>M2*N2</f>
        <v/>
      </c>
      <c r="P2" s="11" t="n"/>
      <c r="Q2" s="11">
        <f>O2-P2</f>
        <v/>
      </c>
      <c r="R2" s="21" t="inlineStr">
        <is>
          <t>Газ таъминоти ишлари (ички газ жихозлари)</t>
        </is>
      </c>
      <c r="S2" s="21" t="inlineStr"/>
    </row>
    <row r="3">
      <c r="A3" s="17" t="n">
        <v>2</v>
      </c>
      <c r="B3" s="18" t="inlineStr">
        <is>
          <t>19-9-29-Х-А</t>
        </is>
      </c>
      <c r="C3" s="19" t="n">
        <v>46284</v>
      </c>
      <c r="D3" s="20" t="inlineStr">
        <is>
          <t>Хаваси</t>
        </is>
      </c>
      <c r="E3" s="20" t="inlineStr">
        <is>
          <t>Асадов Сухроб</t>
        </is>
      </c>
      <c r="F3" s="20" t="inlineStr">
        <is>
          <t>Накт</t>
        </is>
      </c>
      <c r="G3" s="17" t="n">
        <v>2</v>
      </c>
      <c r="H3" s="21" t="inlineStr">
        <is>
          <t>ggggggggg</t>
        </is>
      </c>
      <c r="I3" s="20" t="inlineStr">
        <is>
          <t>Timur aka</t>
        </is>
      </c>
      <c r="J3" s="17" t="inlineStr"/>
      <c r="K3" s="17" t="inlineStr"/>
      <c r="L3" s="17" t="inlineStr"/>
      <c r="M3" s="22" t="n">
        <v>500</v>
      </c>
      <c r="N3" s="11" t="n">
        <v>50000</v>
      </c>
      <c r="O3" s="11">
        <f>M3*N3</f>
        <v/>
      </c>
      <c r="P3" s="11" t="n"/>
      <c r="Q3" s="11">
        <f>O3-P3</f>
        <v/>
      </c>
      <c r="R3" s="21" t="inlineStr">
        <is>
          <t>Иситиш ва кондиционер ишлари (отопление, котёл, радиатор, HVAC)</t>
        </is>
      </c>
      <c r="S3" s="21" t="inlineStr"/>
    </row>
    <row r="4">
      <c r="A4" s="6" t="n">
        <v>3</v>
      </c>
      <c r="B4" s="23" t="inlineStr">
        <is>
          <t>19-9-26-15-Х-К</t>
        </is>
      </c>
      <c r="C4" s="8" t="n">
        <v>46284</v>
      </c>
      <c r="D4" s="24" t="inlineStr">
        <is>
          <t>Хаваси</t>
        </is>
      </c>
      <c r="E4" s="24" t="inlineStr">
        <is>
          <t>Курбонов Равшан</t>
        </is>
      </c>
      <c r="F4" s="24" t="inlineStr">
        <is>
          <t>Накт</t>
        </is>
      </c>
      <c r="G4" s="6" t="n">
        <v>1</v>
      </c>
      <c r="H4" s="25" t="inlineStr">
        <is>
          <t>sdfdsfdsf</t>
        </is>
      </c>
      <c r="I4" s="24" t="inlineStr"/>
      <c r="J4" s="6" t="inlineStr"/>
      <c r="K4" s="6" t="inlineStr"/>
      <c r="L4" s="6" t="inlineStr"/>
      <c r="M4" s="26" t="n">
        <v>1000</v>
      </c>
      <c r="N4" s="10" t="n">
        <v>150000</v>
      </c>
      <c r="O4" s="10">
        <f>M4*N4</f>
        <v/>
      </c>
      <c r="P4" s="10" t="n"/>
      <c r="Q4" s="10">
        <f>O4-P4</f>
        <v/>
      </c>
      <c r="R4" s="25" t="inlineStr"/>
      <c r="S4" s="25" t="inlineStr"/>
    </row>
    <row r="5">
      <c r="A5" s="6" t="n">
        <v>4</v>
      </c>
      <c r="B5" s="23" t="inlineStr">
        <is>
          <t>19-9-26-15-Х-К</t>
        </is>
      </c>
      <c r="C5" s="8" t="n">
        <v>46284</v>
      </c>
      <c r="D5" s="24" t="inlineStr">
        <is>
          <t>Хаваси</t>
        </is>
      </c>
      <c r="E5" s="24" t="inlineStr">
        <is>
          <t>Курбонов Равшан</t>
        </is>
      </c>
      <c r="F5" s="24" t="inlineStr">
        <is>
          <t>Накт</t>
        </is>
      </c>
      <c r="G5" s="6" t="n">
        <v>2</v>
      </c>
      <c r="H5" s="25" t="inlineStr">
        <is>
          <t>fsdfsdfsdf</t>
        </is>
      </c>
      <c r="I5" s="24" t="inlineStr"/>
      <c r="J5" s="6" t="inlineStr"/>
      <c r="K5" s="6" t="inlineStr"/>
      <c r="L5" s="6" t="inlineStr"/>
      <c r="M5" s="26" t="n">
        <v>10000</v>
      </c>
      <c r="N5" s="10" t="n">
        <v>1000</v>
      </c>
      <c r="O5" s="10">
        <f>M5*N5</f>
        <v/>
      </c>
      <c r="P5" s="10" t="n"/>
      <c r="Q5" s="10">
        <f>O5-P5</f>
        <v/>
      </c>
      <c r="R5" s="25" t="inlineStr"/>
      <c r="S5" s="25" t="inlineStr"/>
    </row>
    <row r="6">
      <c r="A6" s="6" t="n">
        <v>5</v>
      </c>
      <c r="B6" s="23" t="inlineStr">
        <is>
          <t>19-9-26-15-Х-К</t>
        </is>
      </c>
      <c r="C6" s="8" t="n">
        <v>46284</v>
      </c>
      <c r="D6" s="24" t="inlineStr">
        <is>
          <t>Хаваси</t>
        </is>
      </c>
      <c r="E6" s="24" t="inlineStr">
        <is>
          <t>Курбонов Равшан</t>
        </is>
      </c>
      <c r="F6" s="24" t="inlineStr">
        <is>
          <t>Накт</t>
        </is>
      </c>
      <c r="G6" s="6" t="n">
        <v>3</v>
      </c>
      <c r="H6" s="25" t="inlineStr">
        <is>
          <t>dsdsaasdasdsad</t>
        </is>
      </c>
      <c r="I6" s="24" t="inlineStr"/>
      <c r="J6" s="6" t="inlineStr"/>
      <c r="K6" s="6" t="inlineStr"/>
      <c r="L6" s="6" t="inlineStr"/>
      <c r="M6" s="26" t="n">
        <v>1</v>
      </c>
      <c r="N6" s="10" t="n">
        <v>50000000</v>
      </c>
      <c r="O6" s="10">
        <f>M6*N6</f>
        <v/>
      </c>
      <c r="P6" s="10" t="n"/>
      <c r="Q6" s="10">
        <f>O6-P6</f>
        <v/>
      </c>
      <c r="R6" s="25" t="inlineStr"/>
      <c r="S6" s="25" t="inlineStr"/>
    </row>
    <row r="7">
      <c r="A7" s="17" t="n">
        <v>6</v>
      </c>
      <c r="B7" s="18" t="inlineStr">
        <is>
          <t>18-9-26-60-Х-К</t>
        </is>
      </c>
      <c r="C7" s="19" t="n">
        <v>46283</v>
      </c>
      <c r="D7" s="20" t="inlineStr">
        <is>
          <t>Хаваси</t>
        </is>
      </c>
      <c r="E7" s="20" t="inlineStr">
        <is>
          <t>Курбонов Равшан</t>
        </is>
      </c>
      <c r="F7" s="20" t="inlineStr">
        <is>
          <t>Накт</t>
        </is>
      </c>
      <c r="G7" s="17" t="n">
        <v>1</v>
      </c>
      <c r="H7" s="21" t="inlineStr">
        <is>
          <t>dadasdasd</t>
        </is>
      </c>
      <c r="I7" s="20" t="inlineStr">
        <is>
          <t>Faridun usta</t>
        </is>
      </c>
      <c r="J7" s="17" t="inlineStr"/>
      <c r="K7" s="17" t="inlineStr"/>
      <c r="L7" s="17" t="inlineStr">
        <is>
          <t>ишбай</t>
        </is>
      </c>
      <c r="M7" s="22" t="n">
        <v>15</v>
      </c>
      <c r="N7" s="11" t="n">
        <v>4000000</v>
      </c>
      <c r="O7" s="11">
        <f>M7*N7</f>
        <v/>
      </c>
      <c r="P7" s="11" t="n"/>
      <c r="Q7" s="11">
        <f>O7-P7</f>
        <v/>
      </c>
      <c r="R7" s="21" t="inlineStr"/>
      <c r="S7" s="21" t="inlineStr"/>
    </row>
    <row r="8">
      <c r="A8" s="17" t="n">
        <v>7</v>
      </c>
      <c r="B8" s="18" t="inlineStr">
        <is>
          <t>18-9-26-60-Х-К</t>
        </is>
      </c>
      <c r="C8" s="19" t="n">
        <v>46283</v>
      </c>
      <c r="D8" s="20" t="inlineStr">
        <is>
          <t>Хаваси</t>
        </is>
      </c>
      <c r="E8" s="20" t="inlineStr">
        <is>
          <t>Курбонов Равшан</t>
        </is>
      </c>
      <c r="F8" s="20" t="inlineStr">
        <is>
          <t>Накт</t>
        </is>
      </c>
      <c r="G8" s="17" t="n">
        <v>2</v>
      </c>
      <c r="H8" s="21" t="inlineStr">
        <is>
          <t>accxzzcx</t>
        </is>
      </c>
      <c r="I8" s="20" t="inlineStr">
        <is>
          <t>Suhrob aka</t>
        </is>
      </c>
      <c r="J8" s="17" t="inlineStr"/>
      <c r="K8" s="17" t="inlineStr"/>
      <c r="L8" s="17" t="inlineStr">
        <is>
          <t>балон</t>
        </is>
      </c>
      <c r="M8" s="22" t="n">
        <v>1550</v>
      </c>
      <c r="N8" s="11" t="n">
        <v>10000</v>
      </c>
      <c r="O8" s="11">
        <f>M8*N8</f>
        <v/>
      </c>
      <c r="P8" s="11" t="n"/>
      <c r="Q8" s="11">
        <f>O8-P8</f>
        <v/>
      </c>
      <c r="R8" s="21" t="inlineStr"/>
      <c r="S8" s="21" t="inlineStr"/>
    </row>
    <row r="9">
      <c r="A9" s="6" t="n">
        <v>8</v>
      </c>
      <c r="B9" s="23" t="inlineStr">
        <is>
          <t>18-9-26-10-Я-И</t>
        </is>
      </c>
      <c r="C9" s="8" t="n">
        <v>46283</v>
      </c>
      <c r="D9" s="24" t="inlineStr">
        <is>
          <t>Янги Шодиёна</t>
        </is>
      </c>
      <c r="E9" s="24" t="inlineStr">
        <is>
          <t>Игамбердиев Далер</t>
        </is>
      </c>
      <c r="F9" s="24" t="inlineStr">
        <is>
          <t>Накт</t>
        </is>
      </c>
      <c r="G9" s="6" t="n">
        <v>1</v>
      </c>
      <c r="H9" s="25" t="inlineStr">
        <is>
          <t>gist</t>
        </is>
      </c>
      <c r="I9" s="24" t="inlineStr">
        <is>
          <t>Faridun usta</t>
        </is>
      </c>
      <c r="J9" s="6" t="inlineStr"/>
      <c r="K9" s="6" t="inlineStr"/>
      <c r="L9" s="6" t="inlineStr"/>
      <c r="M9" s="26" t="n">
        <v>10000</v>
      </c>
      <c r="N9" s="10" t="n">
        <v>1000</v>
      </c>
      <c r="O9" s="10">
        <f>M9*N9</f>
        <v/>
      </c>
      <c r="P9" s="10" t="n"/>
      <c r="Q9" s="10">
        <f>O9-P9</f>
        <v/>
      </c>
      <c r="R9" s="25" t="inlineStr"/>
      <c r="S9" s="25" t="inlineStr"/>
    </row>
    <row r="10">
      <c r="A10" s="6" t="n">
        <v>9</v>
      </c>
      <c r="B10" s="23" t="inlineStr">
        <is>
          <t>18-9-26-10-Я-И</t>
        </is>
      </c>
      <c r="C10" s="8" t="n">
        <v>46283</v>
      </c>
      <c r="D10" s="24" t="inlineStr">
        <is>
          <t>Янги Шодиёна</t>
        </is>
      </c>
      <c r="E10" s="24" t="inlineStr">
        <is>
          <t>Игамбердиев Далер</t>
        </is>
      </c>
      <c r="F10" s="24" t="inlineStr">
        <is>
          <t>Накт</t>
        </is>
      </c>
      <c r="G10" s="6" t="n">
        <v>2</v>
      </c>
      <c r="H10" s="25" t="inlineStr">
        <is>
          <t>sdfsdfdsfdsf</t>
        </is>
      </c>
      <c r="I10" s="24" t="inlineStr">
        <is>
          <t>Suhrob aka</t>
        </is>
      </c>
      <c r="J10" s="6" t="inlineStr"/>
      <c r="K10" s="6" t="inlineStr"/>
      <c r="L10" s="6" t="inlineStr"/>
      <c r="M10" s="26" t="n">
        <v>1200</v>
      </c>
      <c r="N10" s="10" t="n">
        <v>15000</v>
      </c>
      <c r="O10" s="10">
        <f>M10*N10</f>
        <v/>
      </c>
      <c r="P10" s="10" t="n"/>
      <c r="Q10" s="10">
        <f>O10-P10</f>
        <v/>
      </c>
      <c r="R10" s="25" t="inlineStr"/>
      <c r="S10" s="25" t="inlineStr"/>
    </row>
    <row r="11">
      <c r="A11" s="6" t="n">
        <v>10</v>
      </c>
      <c r="B11" s="23" t="inlineStr">
        <is>
          <t>18-9-26-10-Я-И</t>
        </is>
      </c>
      <c r="C11" s="8" t="n">
        <v>46283</v>
      </c>
      <c r="D11" s="24" t="inlineStr">
        <is>
          <t>Янги Шодиёна</t>
        </is>
      </c>
      <c r="E11" s="24" t="inlineStr">
        <is>
          <t>Игамбердиев Далер</t>
        </is>
      </c>
      <c r="F11" s="24" t="inlineStr">
        <is>
          <t>Накт</t>
        </is>
      </c>
      <c r="G11" s="6" t="n">
        <v>3</v>
      </c>
      <c r="H11" s="25" t="inlineStr">
        <is>
          <t>olingan avans</t>
        </is>
      </c>
      <c r="I11" s="24" t="inlineStr">
        <is>
          <t>Suhrob aka</t>
        </is>
      </c>
      <c r="J11" s="6" t="inlineStr"/>
      <c r="K11" s="6" t="inlineStr"/>
      <c r="L11" s="6" t="inlineStr"/>
      <c r="M11" s="26" t="n"/>
      <c r="N11" s="10" t="n"/>
      <c r="O11" s="10">
        <f>M11*N11</f>
        <v/>
      </c>
      <c r="P11" s="10" t="n">
        <v>1000000</v>
      </c>
      <c r="Q11" s="10">
        <f>O11-P11</f>
        <v/>
      </c>
      <c r="R11" s="25" t="inlineStr"/>
      <c r="S11" s="25" t="inlineStr"/>
    </row>
    <row r="12">
      <c r="A12" s="6" t="n">
        <v>11</v>
      </c>
      <c r="B12" s="23" t="inlineStr">
        <is>
          <t>18-9-26-10-Я-И</t>
        </is>
      </c>
      <c r="C12" s="8" t="n">
        <v>46283</v>
      </c>
      <c r="D12" s="24" t="inlineStr">
        <is>
          <t>Янги Шодиёна</t>
        </is>
      </c>
      <c r="E12" s="24" t="inlineStr">
        <is>
          <t>Игамбердиев Далер</t>
        </is>
      </c>
      <c r="F12" s="24" t="inlineStr">
        <is>
          <t>Накт</t>
        </is>
      </c>
      <c r="G12" s="6" t="n">
        <v>4</v>
      </c>
      <c r="H12" s="25" t="inlineStr">
        <is>
          <t>jdkfjsldfjsdfjs</t>
        </is>
      </c>
      <c r="I12" s="24" t="inlineStr"/>
      <c r="J12" s="6" t="inlineStr"/>
      <c r="K12" s="6" t="inlineStr"/>
      <c r="L12" s="6" t="inlineStr"/>
      <c r="M12" s="26" t="n">
        <v>100</v>
      </c>
      <c r="N12" s="10" t="n">
        <v>50000</v>
      </c>
      <c r="O12" s="10">
        <f>M12*N12</f>
        <v/>
      </c>
      <c r="P12" s="10" t="n"/>
      <c r="Q12" s="10">
        <f>O12-P12</f>
        <v/>
      </c>
      <c r="R12" s="25" t="inlineStr"/>
      <c r="S12" s="25" t="inlineStr"/>
    </row>
    <row r="13">
      <c r="A13" s="17" t="n">
        <v>12</v>
      </c>
      <c r="B13" s="18" t="inlineStr">
        <is>
          <t>18-9-26-19-З-К</t>
        </is>
      </c>
      <c r="C13" s="19" t="n">
        <v>46283</v>
      </c>
      <c r="D13" s="20" t="inlineStr">
        <is>
          <t>Зармед Университет</t>
        </is>
      </c>
      <c r="E13" s="20" t="inlineStr">
        <is>
          <t>Курбонов Равшан</t>
        </is>
      </c>
      <c r="F13" s="20" t="inlineStr">
        <is>
          <t>Накт</t>
        </is>
      </c>
      <c r="G13" s="17" t="n">
        <v>1</v>
      </c>
      <c r="H13" s="21" t="inlineStr">
        <is>
          <t>Gagshjdjdjdjjsjd</t>
        </is>
      </c>
      <c r="I13" s="20" t="inlineStr">
        <is>
          <t>Timur aka</t>
        </is>
      </c>
      <c r="J13" s="17" t="inlineStr">
        <is>
          <t>1</t>
        </is>
      </c>
      <c r="K13" s="17" t="inlineStr"/>
      <c r="L13" s="17" t="inlineStr">
        <is>
          <t>шт</t>
        </is>
      </c>
      <c r="M13" s="22" t="n">
        <v>19</v>
      </c>
      <c r="N13" s="11" t="n">
        <v>10000000</v>
      </c>
      <c r="O13" s="11">
        <f>M13*N13</f>
        <v/>
      </c>
      <c r="P13" s="11" t="n"/>
      <c r="Q13" s="11">
        <f>O13-P13</f>
        <v/>
      </c>
      <c r="R13" s="21" t="inlineStr"/>
      <c r="S13" s="21" t="inlineStr"/>
    </row>
    <row r="14">
      <c r="A14" s="17" t="n">
        <v>13</v>
      </c>
      <c r="B14" s="18" t="inlineStr">
        <is>
          <t>18-9-26-19-З-К</t>
        </is>
      </c>
      <c r="C14" s="19" t="n">
        <v>46283</v>
      </c>
      <c r="D14" s="20" t="inlineStr">
        <is>
          <t>Зармед Университет</t>
        </is>
      </c>
      <c r="E14" s="20" t="inlineStr">
        <is>
          <t>Курбонов Равшан</t>
        </is>
      </c>
      <c r="F14" s="20" t="inlineStr">
        <is>
          <t>Накт</t>
        </is>
      </c>
      <c r="G14" s="17" t="n">
        <v>2</v>
      </c>
      <c r="H14" s="21" t="inlineStr">
        <is>
          <t>Gsjdjdjjdjdkdksj</t>
        </is>
      </c>
      <c r="I14" s="20" t="inlineStr">
        <is>
          <t>Suhrob aka</t>
        </is>
      </c>
      <c r="J14" s="17" t="inlineStr"/>
      <c r="K14" s="17" t="inlineStr"/>
      <c r="L14" s="17" t="inlineStr"/>
      <c r="M14" s="22" t="n">
        <v>10</v>
      </c>
      <c r="N14" s="11" t="n">
        <v>200000</v>
      </c>
      <c r="O14" s="11">
        <f>M14*N14</f>
        <v/>
      </c>
      <c r="P14" s="11" t="n"/>
      <c r="Q14" s="11">
        <f>O14-P14</f>
        <v/>
      </c>
      <c r="R14" s="21" t="inlineStr"/>
      <c r="S14" s="21" t="inlineStr"/>
    </row>
    <row r="15">
      <c r="A15" s="6" t="n">
        <v>14</v>
      </c>
      <c r="B15" s="23" t="inlineStr">
        <is>
          <t>18-9-26-25-З-Ф</t>
        </is>
      </c>
      <c r="C15" s="8" t="n">
        <v>46283</v>
      </c>
      <c r="D15" s="24" t="inlineStr">
        <is>
          <t>Зармед Университет</t>
        </is>
      </c>
      <c r="E15" s="24" t="inlineStr">
        <is>
          <t>Фахриев Азим</t>
        </is>
      </c>
      <c r="F15" s="24" t="inlineStr">
        <is>
          <t>Накт</t>
        </is>
      </c>
      <c r="G15" s="6" t="n">
        <v>1</v>
      </c>
      <c r="H15" s="25" t="inlineStr">
        <is>
          <t>Rabota avtokran 11-09</t>
        </is>
      </c>
      <c r="I15" s="24" t="inlineStr"/>
      <c r="J15" s="6" t="inlineStr"/>
      <c r="K15" s="6" t="inlineStr"/>
      <c r="L15" s="6" t="inlineStr">
        <is>
          <t>шт</t>
        </is>
      </c>
      <c r="M15" s="26" t="n">
        <v>1</v>
      </c>
      <c r="N15" s="10" t="n">
        <v>2500000</v>
      </c>
      <c r="O15" s="10">
        <f>M15*N15</f>
        <v/>
      </c>
      <c r="P15" s="10" t="n"/>
      <c r="Q15" s="10">
        <f>O15-P15</f>
        <v/>
      </c>
      <c r="R15" s="25" t="inlineStr"/>
      <c r="S15" s="25" t="inlineStr"/>
    </row>
    <row r="16">
      <c r="A16" s="6" t="n">
        <v>15</v>
      </c>
      <c r="B16" s="23" t="inlineStr">
        <is>
          <t>18-9-26-25-З-Ф</t>
        </is>
      </c>
      <c r="C16" s="8" t="n">
        <v>46283</v>
      </c>
      <c r="D16" s="24" t="inlineStr">
        <is>
          <t>Зармед Университет</t>
        </is>
      </c>
      <c r="E16" s="24" t="inlineStr">
        <is>
          <t>Фахриев Азим</t>
        </is>
      </c>
      <c r="F16" s="24" t="inlineStr">
        <is>
          <t>Накт</t>
        </is>
      </c>
      <c r="G16" s="6" t="n">
        <v>2</v>
      </c>
      <c r="H16" s="25" t="inlineStr">
        <is>
          <t>Vvoz musor 11-09</t>
        </is>
      </c>
      <c r="I16" s="24" t="inlineStr"/>
      <c r="J16" s="6" t="inlineStr"/>
      <c r="K16" s="6" t="inlineStr"/>
      <c r="L16" s="6" t="inlineStr">
        <is>
          <t>шт</t>
        </is>
      </c>
      <c r="M16" s="26" t="n">
        <v>5</v>
      </c>
      <c r="N16" s="10" t="n">
        <v>400000</v>
      </c>
      <c r="O16" s="10">
        <f>M16*N16</f>
        <v/>
      </c>
      <c r="P16" s="10" t="n"/>
      <c r="Q16" s="10">
        <f>O16-P16</f>
        <v/>
      </c>
      <c r="R16" s="25" t="inlineStr"/>
      <c r="S16" s="25" t="inlineStr"/>
    </row>
    <row r="17">
      <c r="A17" s="6" t="n">
        <v>16</v>
      </c>
      <c r="B17" s="23" t="inlineStr">
        <is>
          <t>18-9-26-25-З-Ф</t>
        </is>
      </c>
      <c r="C17" s="8" t="n">
        <v>46283</v>
      </c>
      <c r="D17" s="24" t="inlineStr">
        <is>
          <t>Зармед Университет</t>
        </is>
      </c>
      <c r="E17" s="24" t="inlineStr">
        <is>
          <t>Фахриев Азим</t>
        </is>
      </c>
      <c r="F17" s="24" t="inlineStr">
        <is>
          <t>Накт</t>
        </is>
      </c>
      <c r="G17" s="6" t="n">
        <v>3</v>
      </c>
      <c r="H17" s="25" t="inlineStr">
        <is>
          <t>arenda pompa 12-09</t>
        </is>
      </c>
      <c r="I17" s="24" t="inlineStr"/>
      <c r="J17" s="6" t="inlineStr"/>
      <c r="K17" s="6" t="inlineStr"/>
      <c r="L17" s="6" t="inlineStr">
        <is>
          <t>шт</t>
        </is>
      </c>
      <c r="M17" s="26" t="n">
        <v>2</v>
      </c>
      <c r="N17" s="10" t="n">
        <v>1200000</v>
      </c>
      <c r="O17" s="10">
        <f>M17*N17</f>
        <v/>
      </c>
      <c r="P17" s="10" t="n"/>
      <c r="Q17" s="10">
        <f>O17-P17</f>
        <v/>
      </c>
      <c r="R17" s="25" t="inlineStr"/>
      <c r="S17" s="25" t="inlineStr"/>
    </row>
    <row r="18">
      <c r="A18" s="17" t="n">
        <v>17</v>
      </c>
      <c r="B18" s="18" t="inlineStr">
        <is>
          <t>18-9-26-12-З-К</t>
        </is>
      </c>
      <c r="C18" s="19" t="n">
        <v>46283</v>
      </c>
      <c r="D18" s="20" t="inlineStr">
        <is>
          <t>Зармед Университет</t>
        </is>
      </c>
      <c r="E18" s="20" t="inlineStr">
        <is>
          <t>Курбонов Равшан</t>
        </is>
      </c>
      <c r="F18" s="20" t="inlineStr">
        <is>
          <t>Накт</t>
        </is>
      </c>
      <c r="G18" s="17" t="n">
        <v>1</v>
      </c>
      <c r="H18" s="21" t="inlineStr"/>
      <c r="I18" s="20" t="inlineStr"/>
      <c r="J18" s="17" t="inlineStr"/>
      <c r="K18" s="17" t="inlineStr"/>
      <c r="L18" s="17" t="inlineStr"/>
      <c r="M18" s="22" t="n">
        <v>1</v>
      </c>
      <c r="N18" s="11" t="n">
        <v>1221221</v>
      </c>
      <c r="O18" s="11">
        <f>M18*N18</f>
        <v/>
      </c>
      <c r="P18" s="11" t="n"/>
      <c r="Q18" s="11">
        <f>O18-P18</f>
        <v/>
      </c>
      <c r="R18" s="21" t="inlineStr"/>
      <c r="S18" s="21" t="inlineStr"/>
    </row>
    <row r="19">
      <c r="A19" s="6" t="n">
        <v>18</v>
      </c>
      <c r="B19" s="23" t="inlineStr">
        <is>
          <t>18-9-26-17-Я-К</t>
        </is>
      </c>
      <c r="C19" s="8" t="n">
        <v>46283</v>
      </c>
      <c r="D19" s="24" t="inlineStr">
        <is>
          <t>Янги Шодиёна</t>
        </is>
      </c>
      <c r="E19" s="24" t="inlineStr">
        <is>
          <t>Курбонов Равшан</t>
        </is>
      </c>
      <c r="F19" s="24" t="inlineStr">
        <is>
          <t>Накт</t>
        </is>
      </c>
      <c r="G19" s="6" t="n">
        <v>1</v>
      </c>
      <c r="H19" s="25" t="inlineStr">
        <is>
          <t>kladka kirpich</t>
        </is>
      </c>
      <c r="I19" s="24" t="inlineStr">
        <is>
          <t>Suhrob usta</t>
        </is>
      </c>
      <c r="J19" s="6" t="inlineStr">
        <is>
          <t>B</t>
        </is>
      </c>
      <c r="K19" s="6" t="inlineStr">
        <is>
          <t>1</t>
        </is>
      </c>
      <c r="L19" s="6" t="inlineStr">
        <is>
          <t>шт</t>
        </is>
      </c>
      <c r="M19" s="26" t="n">
        <v>1700</v>
      </c>
      <c r="N19" s="10" t="n">
        <v>1000</v>
      </c>
      <c r="O19" s="10">
        <f>M19*N19</f>
        <v/>
      </c>
      <c r="P19" s="10" t="n"/>
      <c r="Q19" s="10">
        <f>O19-P19</f>
        <v/>
      </c>
      <c r="R19" s="25" t="inlineStr"/>
      <c r="S19" s="25" t="inlineStr"/>
    </row>
    <row r="20">
      <c r="A20" s="6" t="n">
        <v>19</v>
      </c>
      <c r="B20" s="23" t="inlineStr">
        <is>
          <t>18-9-26-17-Я-К</t>
        </is>
      </c>
      <c r="C20" s="8" t="n">
        <v>46283</v>
      </c>
      <c r="D20" s="24" t="inlineStr">
        <is>
          <t>Янги Шодиёна</t>
        </is>
      </c>
      <c r="E20" s="24" t="inlineStr">
        <is>
          <t>Курбонов Равшан</t>
        </is>
      </c>
      <c r="F20" s="24" t="inlineStr">
        <is>
          <t>Накт</t>
        </is>
      </c>
      <c r="G20" s="6" t="n">
        <v>2</v>
      </c>
      <c r="H20" s="25" t="inlineStr">
        <is>
          <t>eski joyini dallbit qilish</t>
        </is>
      </c>
      <c r="I20" s="24" t="inlineStr">
        <is>
          <t>Suhrob usta</t>
        </is>
      </c>
      <c r="J20" s="6" t="inlineStr">
        <is>
          <t>B</t>
        </is>
      </c>
      <c r="K20" s="6" t="inlineStr">
        <is>
          <t>1</t>
        </is>
      </c>
      <c r="L20" s="6" t="inlineStr">
        <is>
          <t>шт</t>
        </is>
      </c>
      <c r="M20" s="26" t="n">
        <v>1</v>
      </c>
      <c r="N20" s="10" t="n">
        <v>5000000</v>
      </c>
      <c r="O20" s="10">
        <f>M20*N20</f>
        <v/>
      </c>
      <c r="P20" s="10" t="n"/>
      <c r="Q20" s="10">
        <f>O20-P20</f>
        <v/>
      </c>
      <c r="R20" s="25" t="inlineStr"/>
      <c r="S20" s="25" t="inlineStr"/>
    </row>
    <row r="21">
      <c r="A21" s="6" t="n">
        <v>20</v>
      </c>
      <c r="B21" s="23" t="inlineStr">
        <is>
          <t>18-9-26-17-Я-К</t>
        </is>
      </c>
      <c r="C21" s="8" t="n">
        <v>46283</v>
      </c>
      <c r="D21" s="24" t="inlineStr">
        <is>
          <t>Янги Шодиёна</t>
        </is>
      </c>
      <c r="E21" s="24" t="inlineStr">
        <is>
          <t>Курбонов Равшан</t>
        </is>
      </c>
      <c r="F21" s="24" t="inlineStr">
        <is>
          <t>Накт</t>
        </is>
      </c>
      <c r="G21" s="6" t="n">
        <v>3</v>
      </c>
      <c r="H21" s="25" t="inlineStr">
        <is>
          <t>Musurlarni chiqarish</t>
        </is>
      </c>
      <c r="I21" s="24" t="inlineStr">
        <is>
          <t>Suhrob usta</t>
        </is>
      </c>
      <c r="J21" s="6" t="inlineStr"/>
      <c r="K21" s="6" t="inlineStr">
        <is>
          <t>1-2-3-4</t>
        </is>
      </c>
      <c r="L21" s="6" t="inlineStr">
        <is>
          <t>шт</t>
        </is>
      </c>
      <c r="M21" s="26" t="n">
        <v>1</v>
      </c>
      <c r="N21" s="10" t="n">
        <v>4000000</v>
      </c>
      <c r="O21" s="10">
        <f>M21*N21</f>
        <v/>
      </c>
      <c r="P21" s="10" t="n">
        <v>2000000</v>
      </c>
      <c r="Q21" s="10">
        <f>O21-P21</f>
        <v/>
      </c>
      <c r="R21" s="25" t="inlineStr"/>
      <c r="S21" s="25" t="inlineStr"/>
    </row>
    <row r="22">
      <c r="A22" s="6" t="n">
        <v>21</v>
      </c>
      <c r="B22" s="23" t="inlineStr">
        <is>
          <t>18-9-26-17-Я-К</t>
        </is>
      </c>
      <c r="C22" s="8" t="n">
        <v>46283</v>
      </c>
      <c r="D22" s="24" t="inlineStr">
        <is>
          <t>Янги Шодиёна</t>
        </is>
      </c>
      <c r="E22" s="24" t="inlineStr">
        <is>
          <t>Курбонов Равшан</t>
        </is>
      </c>
      <c r="F22" s="24" t="inlineStr">
        <is>
          <t>Накт</t>
        </is>
      </c>
      <c r="G22" s="6" t="n">
        <v>4</v>
      </c>
      <c r="H22" s="25" t="inlineStr">
        <is>
          <t xml:space="preserve">Dostavka abed 12.09 dan 20/09 gacha </t>
        </is>
      </c>
      <c r="I22" s="24" t="inlineStr">
        <is>
          <t>Rahim aka</t>
        </is>
      </c>
      <c r="J22" s="6" t="inlineStr"/>
      <c r="K22" s="6" t="inlineStr"/>
      <c r="L22" s="6" t="inlineStr"/>
      <c r="M22" s="26" t="n">
        <v>8</v>
      </c>
      <c r="N22" s="10" t="n">
        <v>40000</v>
      </c>
      <c r="O22" s="10">
        <f>M22*N22</f>
        <v/>
      </c>
      <c r="P22" s="10" t="n"/>
      <c r="Q22" s="10">
        <f>O22-P22</f>
        <v/>
      </c>
      <c r="R22" s="25" t="inlineStr"/>
      <c r="S22" s="25" t="inlineStr"/>
    </row>
    <row r="23">
      <c r="A23" s="6" t="n">
        <v>22</v>
      </c>
      <c r="B23" s="23" t="inlineStr">
        <is>
          <t>18-9-26-17-Я-К</t>
        </is>
      </c>
      <c r="C23" s="8" t="n">
        <v>46283</v>
      </c>
      <c r="D23" s="24" t="inlineStr">
        <is>
          <t>Янги Шодиёна</t>
        </is>
      </c>
      <c r="E23" s="24" t="inlineStr">
        <is>
          <t>Курбонов Равшан</t>
        </is>
      </c>
      <c r="F23" s="24" t="inlineStr">
        <is>
          <t>Накт</t>
        </is>
      </c>
      <c r="G23" s="6" t="n">
        <v>5</v>
      </c>
      <c r="H23" s="25" t="inlineStr">
        <is>
          <t>Kunlik ishchilar 08-08-2026</t>
        </is>
      </c>
      <c r="I23" s="24" t="inlineStr"/>
      <c r="J23" s="6" t="inlineStr"/>
      <c r="K23" s="6" t="inlineStr"/>
      <c r="L23" s="6" t="inlineStr"/>
      <c r="M23" s="26" t="n">
        <v>10</v>
      </c>
      <c r="N23" s="10" t="n">
        <v>200000</v>
      </c>
      <c r="O23" s="10">
        <f>M23*N23</f>
        <v/>
      </c>
      <c r="P23" s="10" t="n"/>
      <c r="Q23" s="10">
        <f>O23-P23</f>
        <v/>
      </c>
      <c r="R23" s="25" t="inlineStr"/>
      <c r="S23" s="25" t="inlineStr"/>
    </row>
    <row r="24">
      <c r="A24" s="17" t="n">
        <v>23</v>
      </c>
      <c r="B24" s="18" t="inlineStr">
        <is>
          <t>18-9-26-11-Я-К</t>
        </is>
      </c>
      <c r="C24" s="19" t="n">
        <v>46283</v>
      </c>
      <c r="D24" s="20" t="inlineStr">
        <is>
          <t>Янги Шодиёна</t>
        </is>
      </c>
      <c r="E24" s="20" t="inlineStr">
        <is>
          <t>Курбонов Равшан</t>
        </is>
      </c>
      <c r="F24" s="20" t="inlineStr">
        <is>
          <t>Накт</t>
        </is>
      </c>
      <c r="G24" s="17" t="n">
        <v>1</v>
      </c>
      <c r="H24" s="21" t="inlineStr">
        <is>
          <t>fdfdf</t>
        </is>
      </c>
      <c r="I24" s="20" t="inlineStr"/>
      <c r="J24" s="17" t="inlineStr"/>
      <c r="K24" s="17" t="inlineStr"/>
      <c r="L24" s="17" t="inlineStr"/>
      <c r="M24" s="22" t="n">
        <v>1</v>
      </c>
      <c r="N24" s="11" t="n">
        <v>1100000000</v>
      </c>
      <c r="O24" s="11">
        <f>M24*N24</f>
        <v/>
      </c>
      <c r="P24" s="11" t="n"/>
      <c r="Q24" s="11">
        <f>O24-P24</f>
        <v/>
      </c>
      <c r="R24" s="21" t="inlineStr"/>
      <c r="S24" s="21" t="inlineStr"/>
    </row>
    <row r="25">
      <c r="A25" s="6" t="n">
        <v>24</v>
      </c>
      <c r="B25" s="23" t="inlineStr">
        <is>
          <t>18-9-26-10-Я-К</t>
        </is>
      </c>
      <c r="C25" s="8" t="n">
        <v>46283</v>
      </c>
      <c r="D25" s="24" t="inlineStr">
        <is>
          <t>Янги Шодиёна</t>
        </is>
      </c>
      <c r="E25" s="24" t="inlineStr">
        <is>
          <t>Курбонов Равшан</t>
        </is>
      </c>
      <c r="F25" s="24" t="inlineStr">
        <is>
          <t>Накт</t>
        </is>
      </c>
      <c r="G25" s="6" t="n">
        <v>1</v>
      </c>
      <c r="H25" s="25" t="inlineStr">
        <is>
          <t>sdsdsd</t>
        </is>
      </c>
      <c r="I25" s="24" t="inlineStr"/>
      <c r="J25" s="6" t="inlineStr"/>
      <c r="K25" s="6" t="inlineStr"/>
      <c r="L25" s="6" t="inlineStr"/>
      <c r="M25" s="26" t="n">
        <v>1</v>
      </c>
      <c r="N25" s="10" t="n">
        <v>10000000</v>
      </c>
      <c r="O25" s="10">
        <f>M25*N25</f>
        <v/>
      </c>
      <c r="P25" s="10" t="n"/>
      <c r="Q25" s="10">
        <f>O25-P25</f>
        <v/>
      </c>
      <c r="R25" s="25" t="inlineStr"/>
      <c r="S25" s="25" t="inlineStr"/>
    </row>
    <row r="26">
      <c r="A26" s="17" t="n">
        <v>25</v>
      </c>
      <c r="B26" s="18" t="inlineStr">
        <is>
          <t>18-9-26-10-Х-К-3</t>
        </is>
      </c>
      <c r="C26" s="19" t="n">
        <v>46283</v>
      </c>
      <c r="D26" s="20" t="inlineStr">
        <is>
          <t>Хаваси</t>
        </is>
      </c>
      <c r="E26" s="20" t="inlineStr">
        <is>
          <t>Курбонов Равшан</t>
        </is>
      </c>
      <c r="F26" s="20" t="inlineStr">
        <is>
          <t>Накт</t>
        </is>
      </c>
      <c r="G26" s="17" t="n">
        <v>1</v>
      </c>
      <c r="H26" s="21" t="inlineStr">
        <is>
          <t>dfdfdfdff</t>
        </is>
      </c>
      <c r="I26" s="20" t="inlineStr"/>
      <c r="J26" s="17" t="inlineStr"/>
      <c r="K26" s="17" t="inlineStr"/>
      <c r="L26" s="17" t="inlineStr"/>
      <c r="M26" s="22" t="n">
        <v>10000</v>
      </c>
      <c r="N26" s="11" t="n">
        <v>1000</v>
      </c>
      <c r="O26" s="11">
        <f>M26*N26</f>
        <v/>
      </c>
      <c r="P26" s="11" t="n"/>
      <c r="Q26" s="11">
        <f>O26-P26</f>
        <v/>
      </c>
      <c r="R26" s="21" t="inlineStr"/>
      <c r="S26" s="21" t="inlineStr"/>
    </row>
    <row r="27">
      <c r="A27" s="6" t="n">
        <v>26</v>
      </c>
      <c r="B27" s="23" t="inlineStr">
        <is>
          <t>18-9-26-10-З-К</t>
        </is>
      </c>
      <c r="C27" s="8" t="n">
        <v>46283</v>
      </c>
      <c r="D27" s="24" t="inlineStr">
        <is>
          <t>Зармед Университет</t>
        </is>
      </c>
      <c r="E27" s="24" t="inlineStr">
        <is>
          <t>Курбонов Равшан</t>
        </is>
      </c>
      <c r="F27" s="24" t="inlineStr">
        <is>
          <t>Накт</t>
        </is>
      </c>
      <c r="G27" s="6" t="n">
        <v>1</v>
      </c>
      <c r="H27" s="25" t="inlineStr">
        <is>
          <t>sddsdsd</t>
        </is>
      </c>
      <c r="I27" s="24" t="inlineStr"/>
      <c r="J27" s="6" t="inlineStr"/>
      <c r="K27" s="6" t="inlineStr"/>
      <c r="L27" s="6" t="inlineStr"/>
      <c r="M27" s="26" t="n">
        <v>1000</v>
      </c>
      <c r="N27" s="10" t="n">
        <v>10000</v>
      </c>
      <c r="O27" s="10">
        <f>M27*N27</f>
        <v/>
      </c>
      <c r="P27" s="10" t="n"/>
      <c r="Q27" s="10">
        <f>O27-P27</f>
        <v/>
      </c>
      <c r="R27" s="25" t="inlineStr"/>
      <c r="S27" s="25" t="inlineStr"/>
    </row>
    <row r="28">
      <c r="A28" s="17" t="n">
        <v>27</v>
      </c>
      <c r="B28" s="18" t="inlineStr">
        <is>
          <t>18-9-26-11-З-К</t>
        </is>
      </c>
      <c r="C28" s="19" t="n">
        <v>46283</v>
      </c>
      <c r="D28" s="20" t="inlineStr">
        <is>
          <t>Зармед Университет</t>
        </is>
      </c>
      <c r="E28" s="20" t="inlineStr">
        <is>
          <t>Курбонов Равшан</t>
        </is>
      </c>
      <c r="F28" s="20" t="inlineStr">
        <is>
          <t>Перечесление</t>
        </is>
      </c>
      <c r="G28" s="17" t="n">
        <v>1</v>
      </c>
      <c r="H28" s="21" t="inlineStr">
        <is>
          <t>gfgfgffgfg</t>
        </is>
      </c>
      <c r="I28" s="20" t="inlineStr"/>
      <c r="J28" s="17" t="inlineStr"/>
      <c r="K28" s="17" t="inlineStr"/>
      <c r="L28" s="17" t="inlineStr"/>
      <c r="M28" s="22" t="n">
        <v>1100</v>
      </c>
      <c r="N28" s="11" t="n">
        <v>100000</v>
      </c>
      <c r="O28" s="11">
        <f>M28*N28</f>
        <v/>
      </c>
      <c r="P28" s="11" t="n"/>
      <c r="Q28" s="11">
        <f>O28-P28</f>
        <v/>
      </c>
      <c r="R28" s="21" t="inlineStr"/>
      <c r="S28" s="21" t="inlineStr"/>
    </row>
    <row r="29">
      <c r="A29" s="6" t="n">
        <v>28</v>
      </c>
      <c r="B29" s="23" t="inlineStr">
        <is>
          <t>18-9-26-10-Х-К-2</t>
        </is>
      </c>
      <c r="C29" s="8" t="n">
        <v>46283</v>
      </c>
      <c r="D29" s="24" t="inlineStr">
        <is>
          <t>Хаваси</t>
        </is>
      </c>
      <c r="E29" s="24" t="inlineStr">
        <is>
          <t>Курбонов Равшан</t>
        </is>
      </c>
      <c r="F29" s="24" t="inlineStr">
        <is>
          <t>Накт</t>
        </is>
      </c>
      <c r="G29" s="6" t="n">
        <v>1</v>
      </c>
      <c r="H29" s="25" t="inlineStr">
        <is>
          <t>sdsadasda</t>
        </is>
      </c>
      <c r="I29" s="24" t="inlineStr"/>
      <c r="J29" s="6" t="inlineStr"/>
      <c r="K29" s="6" t="inlineStr"/>
      <c r="L29" s="6" t="inlineStr"/>
      <c r="M29" s="26" t="n">
        <v>10000</v>
      </c>
      <c r="N29" s="10" t="n">
        <v>1000</v>
      </c>
      <c r="O29" s="10">
        <f>M29*N29</f>
        <v/>
      </c>
      <c r="P29" s="10" t="n"/>
      <c r="Q29" s="10">
        <f>O29-P29</f>
        <v/>
      </c>
      <c r="R29" s="25" t="inlineStr"/>
      <c r="S29" s="25" t="inlineStr"/>
    </row>
    <row r="30">
      <c r="A30" s="17" t="n">
        <v>29</v>
      </c>
      <c r="B30" s="18" t="inlineStr">
        <is>
          <t>18-9-26-10-Х-К</t>
        </is>
      </c>
      <c r="C30" s="19" t="n">
        <v>46283</v>
      </c>
      <c r="D30" s="20" t="inlineStr">
        <is>
          <t>Хаваси</t>
        </is>
      </c>
      <c r="E30" s="20" t="inlineStr">
        <is>
          <t>Курбонов Равшан</t>
        </is>
      </c>
      <c r="F30" s="20" t="inlineStr">
        <is>
          <t>Накт</t>
        </is>
      </c>
      <c r="G30" s="17" t="n">
        <v>1</v>
      </c>
      <c r="H30" s="21" t="inlineStr">
        <is>
          <t>sdsdasdda</t>
        </is>
      </c>
      <c r="I30" s="20" t="inlineStr"/>
      <c r="J30" s="17" t="inlineStr"/>
      <c r="K30" s="17" t="inlineStr"/>
      <c r="L30" s="17" t="inlineStr"/>
      <c r="M30" s="22" t="n">
        <v>1</v>
      </c>
      <c r="N30" s="11" t="n">
        <v>10000000</v>
      </c>
      <c r="O30" s="11">
        <f>M30*N30</f>
        <v/>
      </c>
      <c r="P30" s="11" t="n"/>
      <c r="Q30" s="11">
        <f>O30-P30</f>
        <v/>
      </c>
      <c r="R30" s="21" t="inlineStr"/>
      <c r="S30" s="21" t="inlineStr"/>
    </row>
    <row r="31">
      <c r="A31" s="6" t="n">
        <v>30</v>
      </c>
      <c r="B31" s="23" t="inlineStr">
        <is>
          <t>18-9-26-11-Г-К</t>
        </is>
      </c>
      <c r="C31" s="8" t="n">
        <v>46283</v>
      </c>
      <c r="D31" s="24" t="inlineStr">
        <is>
          <t>Гагарин дом</t>
        </is>
      </c>
      <c r="E31" s="24" t="inlineStr">
        <is>
          <t>Курбонов Равшан</t>
        </is>
      </c>
      <c r="F31" s="24" t="inlineStr">
        <is>
          <t>Накт</t>
        </is>
      </c>
      <c r="G31" s="6" t="n">
        <v>1</v>
      </c>
      <c r="H31" s="25" t="inlineStr">
        <is>
          <t xml:space="preserve">gisht terish </t>
        </is>
      </c>
      <c r="I31" s="24" t="inlineStr">
        <is>
          <t>Azim usta</t>
        </is>
      </c>
      <c r="J31" s="6" t="inlineStr"/>
      <c r="K31" s="6" t="inlineStr"/>
      <c r="L31" s="6" t="inlineStr"/>
      <c r="M31" s="26" t="n">
        <v>11700</v>
      </c>
      <c r="N31" s="10" t="n">
        <v>1000</v>
      </c>
      <c r="O31" s="10">
        <f>M31*N31</f>
        <v/>
      </c>
      <c r="P31" s="10" t="n"/>
      <c r="Q31" s="10">
        <f>O31-P31</f>
        <v/>
      </c>
      <c r="R31" s="25" t="inlineStr"/>
      <c r="S31" s="25" t="inlineStr"/>
    </row>
    <row r="32">
      <c r="A32" s="6" t="n">
        <v>31</v>
      </c>
      <c r="B32" s="23" t="inlineStr">
        <is>
          <t>18-9-26-11-Г-К</t>
        </is>
      </c>
      <c r="C32" s="8" t="n">
        <v>46283</v>
      </c>
      <c r="D32" s="24" t="inlineStr">
        <is>
          <t>Гагарин дом</t>
        </is>
      </c>
      <c r="E32" s="24" t="inlineStr">
        <is>
          <t>Курбонов Равшан</t>
        </is>
      </c>
      <c r="F32" s="24" t="inlineStr">
        <is>
          <t>Накт</t>
        </is>
      </c>
      <c r="G32" s="6" t="n">
        <v>2</v>
      </c>
      <c r="H32" s="25" t="inlineStr">
        <is>
          <t>olingan avans</t>
        </is>
      </c>
      <c r="I32" s="24" t="inlineStr"/>
      <c r="J32" s="6" t="inlineStr"/>
      <c r="K32" s="6" t="inlineStr"/>
      <c r="L32" s="6" t="inlineStr"/>
      <c r="M32" s="26" t="n"/>
      <c r="N32" s="10" t="n"/>
      <c r="O32" s="10">
        <f>M32*N32</f>
        <v/>
      </c>
      <c r="P32" s="10" t="n">
        <v>5000000</v>
      </c>
      <c r="Q32" s="10">
        <f>O32-P32</f>
        <v/>
      </c>
      <c r="R32" s="25" t="inlineStr"/>
      <c r="S32" s="25" t="inlineStr"/>
    </row>
    <row r="33" ht="24" customHeight="1">
      <c r="A33" s="13" t="inlineStr">
        <is>
          <t>JAMI (filtrga qarab)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5">
        <f>SUBTOTAL(109,O2:O32)</f>
        <v/>
      </c>
      <c r="P33" s="15">
        <f>SUBTOTAL(109,P2:P32)</f>
        <v/>
      </c>
      <c r="Q33" s="16">
        <f>SUBTOTAL(109,Q2:Q32)</f>
        <v/>
      </c>
      <c r="R33" s="14" t="n"/>
      <c r="S33" s="14" t="n"/>
    </row>
  </sheetData>
  <autoFilter ref="A1:S32"/>
  <mergeCells count="1">
    <mergeCell ref="A33:N3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2026-09-19T06:29:05Z</dcterms:created>
  <dcterms:modified xsi:type="dcterms:W3CDTF">2026-09-19T06:29:05Z</dcterms:modified>
</cp:coreProperties>
</file>