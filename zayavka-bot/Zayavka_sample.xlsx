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ssa-b-blok-2\Desktop\"/>
    </mc:Choice>
  </mc:AlternateContent>
  <xr:revisionPtr revIDLastSave="0" documentId="13_ncr:1_{C3293367-864D-4D90-94AA-00145FA2B5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Заявка" sheetId="1" r:id="rId1"/>
  </sheets>
  <definedNames>
    <definedName name="_xlnm._FilterDatabase" localSheetId="0" hidden="1">Заявка!$A$6:$M$26</definedName>
    <definedName name="_xlnm.Print_Area" localSheetId="0">Заявка!$A$1:$M$29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7" i="1"/>
  <c r="I27" i="1"/>
  <c r="J27" i="1"/>
  <c r="K27" i="1"/>
  <c r="J14" i="1"/>
  <c r="J17" i="1"/>
  <c r="J25" i="1"/>
  <c r="N27" i="1"/>
  <c r="O27" i="1"/>
  <c r="P27" i="1"/>
  <c r="N28" i="1"/>
  <c r="O28" i="1"/>
  <c r="P28" i="1"/>
  <c r="N29" i="1"/>
  <c r="O29" i="1"/>
  <c r="P29" i="1"/>
  <c r="N13" i="1"/>
  <c r="O13" i="1"/>
  <c r="P13" i="1"/>
  <c r="N14" i="1"/>
  <c r="O14" i="1"/>
  <c r="P14" i="1"/>
  <c r="N15" i="1"/>
  <c r="O15" i="1"/>
  <c r="P15" i="1"/>
  <c r="I13" i="1"/>
  <c r="K13" i="1" s="1"/>
  <c r="K8" i="1"/>
  <c r="K11" i="1"/>
  <c r="K12" i="1"/>
  <c r="I8" i="1"/>
  <c r="I9" i="1"/>
  <c r="K9" i="1" s="1"/>
  <c r="I10" i="1"/>
  <c r="K10" i="1" s="1"/>
  <c r="I11" i="1"/>
  <c r="I12" i="1"/>
  <c r="I15" i="1"/>
  <c r="I17" i="1" s="1"/>
  <c r="I16" i="1"/>
  <c r="K16" i="1" s="1"/>
  <c r="I18" i="1"/>
  <c r="I19" i="1"/>
  <c r="I20" i="1"/>
  <c r="K20" i="1" s="1"/>
  <c r="I21" i="1"/>
  <c r="K21" i="1" s="1"/>
  <c r="I22" i="1"/>
  <c r="I23" i="1"/>
  <c r="I24" i="1"/>
  <c r="K24" i="1" s="1"/>
  <c r="I7" i="1"/>
  <c r="K7" i="1" s="1"/>
  <c r="K14" i="1" s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P7" i="1"/>
  <c r="O7" i="1"/>
  <c r="N7" i="1"/>
  <c r="K23" i="1"/>
  <c r="K22" i="1"/>
  <c r="K19" i="1"/>
  <c r="I25" i="1" l="1"/>
  <c r="I14" i="1"/>
  <c r="K15" i="1"/>
  <c r="K17" i="1" s="1"/>
  <c r="K18" i="1"/>
  <c r="K25" i="1" s="1"/>
</calcChain>
</file>

<file path=xl/sharedStrings.xml><?xml version="1.0" encoding="utf-8"?>
<sst xmlns="http://schemas.openxmlformats.org/spreadsheetml/2006/main" count="93" uniqueCount="65">
  <si>
    <t>Название объекта:</t>
  </si>
  <si>
    <t>Янги Шодиёна</t>
  </si>
  <si>
    <t>Дата:</t>
  </si>
  <si>
    <t>16.09.2026</t>
  </si>
  <si>
    <t>От кого:</t>
  </si>
  <si>
    <t>Курбонов Равшан</t>
  </si>
  <si>
    <t>Кому:</t>
  </si>
  <si>
    <t>Далеров А.Д.</t>
  </si>
  <si>
    <t>Вид оплаты:</t>
  </si>
  <si>
    <t>Нақт</t>
  </si>
  <si>
    <t>Т/р</t>
  </si>
  <si>
    <t>Наименование товара</t>
  </si>
  <si>
    <t>Поставщик</t>
  </si>
  <si>
    <t>Блок</t>
  </si>
  <si>
    <t>Этаж</t>
  </si>
  <si>
    <t>Ед. изм.</t>
  </si>
  <si>
    <t>Кол-во</t>
  </si>
  <si>
    <t>Цена</t>
  </si>
  <si>
    <t>Общая сумма</t>
  </si>
  <si>
    <t>Аванс получ-ил</t>
  </si>
  <si>
    <t>Остатка</t>
  </si>
  <si>
    <t>Выполняемая работа (сметная группа)</t>
  </si>
  <si>
    <t>Комментарии</t>
  </si>
  <si>
    <t>Bak ustanovka nasos komplekti 4ta
4*2500000=10.000.000</t>
  </si>
  <si>
    <t>Улугбек сантехник</t>
  </si>
  <si>
    <t>шт</t>
  </si>
  <si>
    <t>Kanalizatsiya lira 79mm, 79*50000=3.950.000</t>
  </si>
  <si>
    <t>метр</t>
  </si>
  <si>
    <t>Shtayal kanalizatsiya 12mtr 12*50000=600.000</t>
  </si>
  <si>
    <t>Shtayal skuy 12mtr, 12*30000=360.000</t>
  </si>
  <si>
    <t>Daymanel 1.000.000</t>
  </si>
  <si>
    <t>ишбай</t>
  </si>
  <si>
    <t>Suv line 14mtr, 14*30000=420.000</t>
  </si>
  <si>
    <t>ИТОГО: Улугбек сантехник</t>
  </si>
  <si>
    <t>(Oprishka gipsakardon regil 214 k*60.000)</t>
  </si>
  <si>
    <t>Акобир уста</t>
  </si>
  <si>
    <t>кв.м</t>
  </si>
  <si>
    <t>Devor opshka eko plit 257 k*40.000</t>
  </si>
  <si>
    <t>ИТОГО: Акобир уста</t>
  </si>
  <si>
    <t>Plastik urush 2.3 4 etaj sanuzel 237 k*50.000</t>
  </si>
  <si>
    <t>Жафар уста</t>
  </si>
  <si>
    <t>Armstron urush 2.200 k*30.000</t>
  </si>
  <si>
    <t>Oprishka ekoplit k tallong kofeteriya 60 k*40.000</t>
  </si>
  <si>
    <t>Demontaj montaj armstron 2 etaj 2 eta xona opshi
dogovor 1.500.000</t>
  </si>
  <si>
    <t>Predelka armstron 2 etaj kalidor 1.000.000</t>
  </si>
  <si>
    <t>Chala armstronlar 2 etaj opeshi dogovor 1.000.000</t>
  </si>
  <si>
    <t>Olingan avans 35.220.000</t>
  </si>
  <si>
    <t>—</t>
  </si>
  <si>
    <t>ИТОГО: Жафар уста</t>
  </si>
  <si>
    <t>СУММА ЗАЯВКИ</t>
  </si>
  <si>
    <t>16-9-10-Я-К</t>
  </si>
  <si>
    <t>НОМЕР ЗАЯВКИ</t>
  </si>
  <si>
    <t>Olingan avans 10000000</t>
  </si>
  <si>
    <t>Инспектор:</t>
  </si>
  <si>
    <t>Нарзикулов Суръат</t>
  </si>
  <si>
    <t>Кассир:</t>
  </si>
  <si>
    <t>Хамроева Ш.А</t>
  </si>
  <si>
    <t>Заявитель:</t>
  </si>
  <si>
    <t>Техданзор:</t>
  </si>
  <si>
    <t>Салохиддинов Рустам</t>
  </si>
  <si>
    <t>Директор:</t>
  </si>
  <si>
    <t>Далеров  А.Д</t>
  </si>
  <si>
    <t>Тасдик !!!</t>
  </si>
  <si>
    <r>
      <t xml:space="preserve">Мен, </t>
    </r>
    <r>
      <rPr>
        <b/>
        <i/>
        <sz val="11"/>
        <color theme="1"/>
        <rFont val="Calibri"/>
        <family val="2"/>
        <scheme val="minor"/>
      </rPr>
      <t>инспектор</t>
    </r>
    <r>
      <rPr>
        <i/>
        <sz val="11"/>
        <color theme="1"/>
        <rFont val="Calibri"/>
        <family val="2"/>
        <scheme val="minor"/>
      </rPr>
      <t xml:space="preserve"> сифатида, объектда бажарилган ишларни жойида текширдим, иш ҳажмларини ўлчадим ва уларнинг тўғри бажарилганлигини тасдиқлайман.</t>
    </r>
  </si>
  <si>
    <r>
      <t xml:space="preserve">Мен, </t>
    </r>
    <r>
      <rPr>
        <b/>
        <i/>
        <sz val="11"/>
        <color theme="1"/>
        <rFont val="Calibri"/>
        <family val="2"/>
        <scheme val="minor"/>
      </rPr>
      <t>Прораб</t>
    </r>
    <r>
      <rPr>
        <i/>
        <sz val="11"/>
        <color theme="1"/>
        <rFont val="Calibri"/>
        <family val="2"/>
        <scheme val="minor"/>
      </rPr>
      <t xml:space="preserve"> сифатида, бажарилган ишлар сифатли, белгиланган меъёрларга мувофиқ бажарилганлиги, иш ҳажмлари тўғри ҳисобланганлиги ва такрорий киритилмаганлигини тасдиқлайман.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</si>
</sst>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rgb="FF17365D"/>
      <name val="Calibri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2"/>
      <color rgb="FFFFFFFF"/>
      <name val="Calibri"/>
    </font>
    <font>
      <b/>
      <sz val="12"/>
      <color rgb="FF1F4E78"/>
      <name val="Calibri"/>
    </font>
    <font>
      <b/>
      <sz val="12"/>
      <color rgb="FF274E13"/>
      <name val="Calibri"/>
    </font>
    <font>
      <sz val="24"/>
      <color theme="1"/>
      <name val="Calibri"/>
      <family val="2"/>
      <scheme val="minor"/>
    </font>
    <font>
      <b/>
      <sz val="16"/>
      <color rgb="FF1F4E78"/>
      <name val="Calibri"/>
      <family val="2"/>
      <charset val="204"/>
    </font>
    <font>
      <b/>
      <sz val="11"/>
      <color rgb="FF17365D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3" tint="-0.499984740745262"/>
      <name val="Calibri"/>
      <family val="2"/>
      <charset val="204"/>
      <scheme val="minor"/>
    </font>
    <font>
      <b/>
      <sz val="16"/>
      <color theme="3" tint="-0.49998474074526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CEAF7"/>
      </patternFill>
    </fill>
    <fill>
      <patternFill patternType="solid">
        <fgColor rgb="FFCFE3F5"/>
      </patternFill>
    </fill>
    <fill>
      <patternFill patternType="solid">
        <fgColor rgb="FFD9EAD3"/>
      </patternFill>
    </fill>
  </fills>
  <borders count="2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Border="1"/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164" fontId="12" fillId="0" borderId="15" xfId="1" applyNumberFormat="1" applyFont="1" applyBorder="1" applyAlignment="1">
      <alignment horizontal="left" vertical="center"/>
    </xf>
    <xf numFmtId="0" fontId="14" fillId="0" borderId="17" xfId="0" applyFont="1" applyBorder="1"/>
    <xf numFmtId="0" fontId="15" fillId="0" borderId="18" xfId="0" applyFont="1" applyBorder="1"/>
    <xf numFmtId="164" fontId="15" fillId="0" borderId="18" xfId="1" applyNumberFormat="1" applyFont="1" applyBorder="1"/>
    <xf numFmtId="0" fontId="0" fillId="0" borderId="18" xfId="0" applyFont="1" applyBorder="1"/>
    <xf numFmtId="0" fontId="0" fillId="0" borderId="19" xfId="0" applyBorder="1"/>
    <xf numFmtId="0" fontId="0" fillId="0" borderId="20" xfId="0" applyBorder="1"/>
    <xf numFmtId="0" fontId="15" fillId="0" borderId="21" xfId="0" applyFont="1" applyBorder="1"/>
    <xf numFmtId="0" fontId="0" fillId="0" borderId="21" xfId="0" applyFont="1" applyBorder="1"/>
    <xf numFmtId="0" fontId="0" fillId="0" borderId="21" xfId="0" applyBorder="1"/>
    <xf numFmtId="0" fontId="0" fillId="0" borderId="22" xfId="0" applyBorder="1"/>
    <xf numFmtId="164" fontId="17" fillId="0" borderId="14" xfId="1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4" fontId="17" fillId="0" borderId="14" xfId="1" applyNumberFormat="1" applyFont="1" applyBorder="1" applyAlignment="1">
      <alignment horizontal="left" vertical="center"/>
    </xf>
    <xf numFmtId="164" fontId="17" fillId="0" borderId="16" xfId="1" applyNumberFormat="1" applyFont="1" applyBorder="1" applyAlignment="1">
      <alignment horizontal="left" vertical="center"/>
    </xf>
    <xf numFmtId="164" fontId="17" fillId="0" borderId="15" xfId="1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 indent="1"/>
    </xf>
  </cellXfs>
  <cellStyles count="2">
    <cellStyle name="Обычный" xfId="0" builtinId="0"/>
    <cellStyle name="Финансовый 2" xfId="1" xr:uid="{761A3A8D-5C38-4089-9CE6-068512DAD45B}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8"/>
  <sheetViews>
    <sheetView showGridLines="0" tabSelected="1" zoomScale="70" zoomScaleNormal="70" workbookViewId="0">
      <pane ySplit="6" topLeftCell="A7" activePane="bottomLeft" state="frozen"/>
      <selection pane="bottomLeft" activeCell="N25" sqref="N25"/>
    </sheetView>
  </sheetViews>
  <sheetFormatPr defaultRowHeight="14.4" x14ac:dyDescent="0.3"/>
  <cols>
    <col min="1" max="1" width="12.44140625" customWidth="1"/>
    <col min="2" max="2" width="43" customWidth="1"/>
    <col min="3" max="3" width="22" customWidth="1"/>
    <col min="4" max="4" width="9" customWidth="1"/>
    <col min="5" max="5" width="9.33203125" customWidth="1"/>
    <col min="6" max="6" width="10" customWidth="1"/>
    <col min="7" max="7" width="11" customWidth="1"/>
    <col min="8" max="8" width="14" customWidth="1"/>
    <col min="9" max="9" width="15" customWidth="1"/>
    <col min="10" max="10" width="15.33203125" customWidth="1"/>
    <col min="11" max="11" width="15" customWidth="1"/>
    <col min="12" max="12" width="38" customWidth="1"/>
    <col min="13" max="13" width="22" customWidth="1"/>
    <col min="14" max="14" width="17.88671875" style="14" customWidth="1"/>
    <col min="15" max="15" width="17" style="14" customWidth="1"/>
    <col min="16" max="16" width="18.109375" style="14" customWidth="1"/>
  </cols>
  <sheetData>
    <row r="1" spans="1:18" ht="24" customHeight="1" x14ac:dyDescent="0.3">
      <c r="A1" s="55" t="s">
        <v>0</v>
      </c>
      <c r="B1" s="43"/>
      <c r="C1" s="49" t="s">
        <v>1</v>
      </c>
      <c r="D1" s="50"/>
      <c r="E1" s="50"/>
      <c r="F1" s="50"/>
      <c r="G1" s="50"/>
      <c r="H1" s="50"/>
      <c r="I1" s="50"/>
      <c r="J1" s="50"/>
      <c r="K1" s="51"/>
      <c r="L1" s="47" t="s">
        <v>51</v>
      </c>
      <c r="M1" s="13"/>
    </row>
    <row r="2" spans="1:18" ht="22.05" customHeight="1" x14ac:dyDescent="0.3">
      <c r="A2" s="42" t="s">
        <v>2</v>
      </c>
      <c r="B2" s="43"/>
      <c r="C2" s="52" t="s">
        <v>3</v>
      </c>
      <c r="D2" s="53"/>
      <c r="E2" s="53"/>
      <c r="F2" s="53"/>
      <c r="G2" s="53"/>
      <c r="H2" s="53"/>
      <c r="I2" s="53"/>
      <c r="J2" s="53"/>
      <c r="K2" s="54"/>
      <c r="L2" s="48"/>
      <c r="M2" s="13"/>
    </row>
    <row r="3" spans="1:18" ht="22.05" customHeight="1" x14ac:dyDescent="0.3">
      <c r="A3" s="55" t="s">
        <v>4</v>
      </c>
      <c r="B3" s="43"/>
      <c r="C3" s="52" t="s">
        <v>5</v>
      </c>
      <c r="D3" s="53"/>
      <c r="E3" s="53"/>
      <c r="F3" s="53"/>
      <c r="G3" s="53"/>
      <c r="H3" s="53"/>
      <c r="I3" s="53"/>
      <c r="J3" s="53"/>
      <c r="K3" s="54"/>
      <c r="L3" s="44" t="s">
        <v>50</v>
      </c>
      <c r="M3" s="13"/>
    </row>
    <row r="4" spans="1:18" ht="22.05" customHeight="1" x14ac:dyDescent="0.3">
      <c r="A4" s="42" t="s">
        <v>6</v>
      </c>
      <c r="B4" s="43"/>
      <c r="C4" s="52" t="s">
        <v>7</v>
      </c>
      <c r="D4" s="53"/>
      <c r="E4" s="53"/>
      <c r="F4" s="53"/>
      <c r="G4" s="53"/>
      <c r="H4" s="53"/>
      <c r="I4" s="53"/>
      <c r="J4" s="53"/>
      <c r="K4" s="54"/>
      <c r="L4" s="45"/>
      <c r="M4" s="13"/>
    </row>
    <row r="5" spans="1:18" ht="22.05" customHeight="1" x14ac:dyDescent="0.3">
      <c r="A5" s="42" t="s">
        <v>8</v>
      </c>
      <c r="B5" s="43"/>
      <c r="C5" s="52" t="s">
        <v>9</v>
      </c>
      <c r="D5" s="53"/>
      <c r="E5" s="53"/>
      <c r="F5" s="53"/>
      <c r="G5" s="53"/>
      <c r="H5" s="53"/>
      <c r="I5" s="53"/>
      <c r="J5" s="53"/>
      <c r="K5" s="54"/>
      <c r="L5" s="46"/>
      <c r="M5" s="13"/>
    </row>
    <row r="6" spans="1:18" ht="37.950000000000003" customHeight="1" x14ac:dyDescent="0.3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4" t="s">
        <v>51</v>
      </c>
      <c r="O6" s="14" t="s">
        <v>4</v>
      </c>
      <c r="P6" s="14" t="s">
        <v>0</v>
      </c>
      <c r="Q6" s="14" t="s">
        <v>2</v>
      </c>
      <c r="R6" s="14"/>
    </row>
    <row r="7" spans="1:18" ht="31.95" customHeight="1" x14ac:dyDescent="0.3">
      <c r="A7" s="2">
        <v>1</v>
      </c>
      <c r="B7" s="3" t="s">
        <v>23</v>
      </c>
      <c r="C7" s="4" t="s">
        <v>24</v>
      </c>
      <c r="D7" s="2"/>
      <c r="E7" s="2"/>
      <c r="F7" s="2" t="s">
        <v>25</v>
      </c>
      <c r="G7" s="5">
        <v>4</v>
      </c>
      <c r="H7" s="6">
        <v>2500000</v>
      </c>
      <c r="I7" s="6">
        <f>G7*H7</f>
        <v>10000000</v>
      </c>
      <c r="J7" s="6">
        <v>0</v>
      </c>
      <c r="K7" s="7">
        <f>I7-J7</f>
        <v>10000000</v>
      </c>
      <c r="L7" s="3"/>
      <c r="M7" s="3"/>
      <c r="N7" s="14" t="str">
        <f>$L$3</f>
        <v>16-9-10-Я-К</v>
      </c>
      <c r="O7" s="14" t="str">
        <f>$C$3</f>
        <v>Курбонов Равшан</v>
      </c>
      <c r="P7" s="14" t="str">
        <f>$C$1</f>
        <v>Янги Шодиёна</v>
      </c>
      <c r="Q7" s="14" t="str">
        <f>$C$2</f>
        <v>16.09.2026</v>
      </c>
    </row>
    <row r="8" spans="1:18" ht="25.05" customHeight="1" x14ac:dyDescent="0.3">
      <c r="A8" s="2">
        <v>2</v>
      </c>
      <c r="B8" s="3" t="s">
        <v>26</v>
      </c>
      <c r="C8" s="4" t="s">
        <v>24</v>
      </c>
      <c r="D8" s="2"/>
      <c r="E8" s="2"/>
      <c r="F8" s="2" t="s">
        <v>27</v>
      </c>
      <c r="G8" s="5">
        <v>79</v>
      </c>
      <c r="H8" s="6">
        <v>50000</v>
      </c>
      <c r="I8" s="6">
        <f t="shared" ref="I8:I24" si="0">G8*H8</f>
        <v>3950000</v>
      </c>
      <c r="J8" s="6">
        <v>0</v>
      </c>
      <c r="K8" s="7">
        <f t="shared" ref="K8:K13" si="1">I8-J8</f>
        <v>3950000</v>
      </c>
      <c r="L8" s="3"/>
      <c r="M8" s="3"/>
      <c r="N8" s="14" t="str">
        <f t="shared" ref="N8:N48" si="2">$L$3</f>
        <v>16-9-10-Я-К</v>
      </c>
      <c r="O8" s="14" t="str">
        <f t="shared" ref="O8:O48" si="3">$C$3</f>
        <v>Курбонов Равшан</v>
      </c>
      <c r="P8" s="14" t="str">
        <f t="shared" ref="P8:P48" si="4">$C$1</f>
        <v>Янги Шодиёна</v>
      </c>
      <c r="Q8" s="14" t="str">
        <f t="shared" ref="Q8:Q48" si="5">$C$2</f>
        <v>16.09.2026</v>
      </c>
    </row>
    <row r="9" spans="1:18" ht="25.05" customHeight="1" x14ac:dyDescent="0.3">
      <c r="A9" s="2">
        <v>3</v>
      </c>
      <c r="B9" s="3" t="s">
        <v>28</v>
      </c>
      <c r="C9" s="4" t="s">
        <v>24</v>
      </c>
      <c r="D9" s="2"/>
      <c r="E9" s="2"/>
      <c r="F9" s="2" t="s">
        <v>27</v>
      </c>
      <c r="G9" s="5">
        <v>12</v>
      </c>
      <c r="H9" s="6">
        <v>50000</v>
      </c>
      <c r="I9" s="6">
        <f t="shared" si="0"/>
        <v>600000</v>
      </c>
      <c r="J9" s="6">
        <v>0</v>
      </c>
      <c r="K9" s="7">
        <f t="shared" si="1"/>
        <v>600000</v>
      </c>
      <c r="L9" s="3"/>
      <c r="M9" s="3"/>
      <c r="N9" s="14" t="str">
        <f t="shared" si="2"/>
        <v>16-9-10-Я-К</v>
      </c>
      <c r="O9" s="14" t="str">
        <f t="shared" si="3"/>
        <v>Курбонов Равшан</v>
      </c>
      <c r="P9" s="14" t="str">
        <f t="shared" si="4"/>
        <v>Янги Шодиёна</v>
      </c>
      <c r="Q9" s="14" t="str">
        <f t="shared" si="5"/>
        <v>16.09.2026</v>
      </c>
    </row>
    <row r="10" spans="1:18" ht="25.05" customHeight="1" x14ac:dyDescent="0.3">
      <c r="A10" s="2">
        <v>4</v>
      </c>
      <c r="B10" s="3" t="s">
        <v>29</v>
      </c>
      <c r="C10" s="4" t="s">
        <v>24</v>
      </c>
      <c r="D10" s="2"/>
      <c r="E10" s="2"/>
      <c r="F10" s="2" t="s">
        <v>27</v>
      </c>
      <c r="G10" s="5">
        <v>12</v>
      </c>
      <c r="H10" s="6">
        <v>30000</v>
      </c>
      <c r="I10" s="6">
        <f t="shared" si="0"/>
        <v>360000</v>
      </c>
      <c r="J10" s="6">
        <v>0</v>
      </c>
      <c r="K10" s="7">
        <f t="shared" si="1"/>
        <v>360000</v>
      </c>
      <c r="L10" s="3"/>
      <c r="M10" s="3"/>
      <c r="N10" s="14" t="str">
        <f t="shared" si="2"/>
        <v>16-9-10-Я-К</v>
      </c>
      <c r="O10" s="14" t="str">
        <f t="shared" si="3"/>
        <v>Курбонов Равшан</v>
      </c>
      <c r="P10" s="14" t="str">
        <f t="shared" si="4"/>
        <v>Янги Шодиёна</v>
      </c>
      <c r="Q10" s="14" t="str">
        <f t="shared" si="5"/>
        <v>16.09.2026</v>
      </c>
    </row>
    <row r="11" spans="1:18" ht="25.05" customHeight="1" x14ac:dyDescent="0.3">
      <c r="A11" s="2">
        <v>5</v>
      </c>
      <c r="B11" s="3" t="s">
        <v>30</v>
      </c>
      <c r="C11" s="4" t="s">
        <v>24</v>
      </c>
      <c r="D11" s="2"/>
      <c r="E11" s="2"/>
      <c r="F11" s="2" t="s">
        <v>31</v>
      </c>
      <c r="G11" s="5">
        <v>1</v>
      </c>
      <c r="H11" s="6">
        <v>1000000</v>
      </c>
      <c r="I11" s="6">
        <f t="shared" si="0"/>
        <v>1000000</v>
      </c>
      <c r="J11" s="6">
        <v>0</v>
      </c>
      <c r="K11" s="7">
        <f t="shared" si="1"/>
        <v>1000000</v>
      </c>
      <c r="L11" s="3"/>
      <c r="M11" s="3"/>
      <c r="N11" s="14" t="str">
        <f t="shared" si="2"/>
        <v>16-9-10-Я-К</v>
      </c>
      <c r="O11" s="14" t="str">
        <f t="shared" si="3"/>
        <v>Курбонов Равшан</v>
      </c>
      <c r="P11" s="14" t="str">
        <f t="shared" si="4"/>
        <v>Янги Шодиёна</v>
      </c>
      <c r="Q11" s="14" t="str">
        <f t="shared" si="5"/>
        <v>16.09.2026</v>
      </c>
    </row>
    <row r="12" spans="1:18" ht="25.05" customHeight="1" x14ac:dyDescent="0.3">
      <c r="A12" s="2">
        <v>6</v>
      </c>
      <c r="B12" s="3" t="s">
        <v>32</v>
      </c>
      <c r="C12" s="4" t="s">
        <v>24</v>
      </c>
      <c r="D12" s="2"/>
      <c r="E12" s="2"/>
      <c r="F12" s="2" t="s">
        <v>27</v>
      </c>
      <c r="G12" s="5">
        <v>14</v>
      </c>
      <c r="H12" s="6">
        <v>30000</v>
      </c>
      <c r="I12" s="6">
        <f t="shared" si="0"/>
        <v>420000</v>
      </c>
      <c r="J12" s="6">
        <v>0</v>
      </c>
      <c r="K12" s="7">
        <f t="shared" si="1"/>
        <v>420000</v>
      </c>
      <c r="L12" s="3"/>
      <c r="M12" s="3"/>
      <c r="N12" s="14" t="str">
        <f t="shared" si="2"/>
        <v>16-9-10-Я-К</v>
      </c>
      <c r="O12" s="14" t="str">
        <f t="shared" si="3"/>
        <v>Курбонов Равшан</v>
      </c>
      <c r="P12" s="14" t="str">
        <f t="shared" si="4"/>
        <v>Янги Шодиёна</v>
      </c>
      <c r="Q12" s="14" t="str">
        <f t="shared" si="5"/>
        <v>16.09.2026</v>
      </c>
    </row>
    <row r="13" spans="1:18" ht="25.05" customHeight="1" x14ac:dyDescent="0.3">
      <c r="A13" s="2">
        <v>7</v>
      </c>
      <c r="B13" s="3" t="s">
        <v>52</v>
      </c>
      <c r="C13" s="4" t="s">
        <v>24</v>
      </c>
      <c r="D13" s="2"/>
      <c r="E13" s="2"/>
      <c r="F13" s="2"/>
      <c r="G13" s="5"/>
      <c r="H13" s="6"/>
      <c r="I13" s="6">
        <f t="shared" si="0"/>
        <v>0</v>
      </c>
      <c r="J13" s="6">
        <v>10000000</v>
      </c>
      <c r="K13" s="7">
        <f t="shared" si="1"/>
        <v>-10000000</v>
      </c>
      <c r="L13" s="3"/>
      <c r="M13" s="3"/>
      <c r="N13" s="14" t="str">
        <f t="shared" si="2"/>
        <v>16-9-10-Я-К</v>
      </c>
      <c r="O13" s="14" t="str">
        <f t="shared" si="3"/>
        <v>Курбонов Равшан</v>
      </c>
      <c r="P13" s="14" t="str">
        <f t="shared" si="4"/>
        <v>Янги Шодиёна</v>
      </c>
      <c r="Q13" s="14" t="str">
        <f t="shared" si="5"/>
        <v>16.09.2026</v>
      </c>
    </row>
    <row r="14" spans="1:18" ht="24" customHeight="1" x14ac:dyDescent="0.3">
      <c r="A14" s="41" t="s">
        <v>33</v>
      </c>
      <c r="B14" s="41"/>
      <c r="C14" s="41"/>
      <c r="D14" s="41"/>
      <c r="E14" s="41"/>
      <c r="F14" s="41"/>
      <c r="G14" s="41"/>
      <c r="H14" s="41"/>
      <c r="I14" s="9">
        <f>SUM(I7:I13)</f>
        <v>16330000</v>
      </c>
      <c r="J14" s="9">
        <f>SUM(J7:J13)</f>
        <v>10000000</v>
      </c>
      <c r="K14" s="9">
        <f>SUM(K7:K13)</f>
        <v>6330000</v>
      </c>
      <c r="L14" s="8"/>
      <c r="M14" s="8"/>
      <c r="N14" s="14" t="str">
        <f t="shared" si="2"/>
        <v>16-9-10-Я-К</v>
      </c>
      <c r="O14" s="14" t="str">
        <f t="shared" si="3"/>
        <v>Курбонов Равшан</v>
      </c>
      <c r="P14" s="14" t="str">
        <f t="shared" si="4"/>
        <v>Янги Шодиёна</v>
      </c>
      <c r="Q14" s="14" t="str">
        <f t="shared" si="5"/>
        <v>16.09.2026</v>
      </c>
    </row>
    <row r="15" spans="1:18" ht="25.05" customHeight="1" x14ac:dyDescent="0.3">
      <c r="A15" s="2">
        <v>8</v>
      </c>
      <c r="B15" s="3" t="s">
        <v>34</v>
      </c>
      <c r="C15" s="4" t="s">
        <v>35</v>
      </c>
      <c r="D15" s="2">
        <v>1</v>
      </c>
      <c r="E15" s="2">
        <v>1</v>
      </c>
      <c r="F15" s="2" t="s">
        <v>36</v>
      </c>
      <c r="G15" s="5">
        <v>214</v>
      </c>
      <c r="H15" s="6">
        <v>60000</v>
      </c>
      <c r="I15" s="6">
        <f t="shared" si="0"/>
        <v>12840000</v>
      </c>
      <c r="J15" s="6">
        <v>0</v>
      </c>
      <c r="K15" s="7">
        <f>I15-J15</f>
        <v>12840000</v>
      </c>
      <c r="L15" s="3"/>
      <c r="M15" s="3"/>
      <c r="N15" s="14" t="str">
        <f t="shared" si="2"/>
        <v>16-9-10-Я-К</v>
      </c>
      <c r="O15" s="14" t="str">
        <f t="shared" si="3"/>
        <v>Курбонов Равшан</v>
      </c>
      <c r="P15" s="14" t="str">
        <f t="shared" si="4"/>
        <v>Янги Шодиёна</v>
      </c>
      <c r="Q15" s="14" t="str">
        <f t="shared" si="5"/>
        <v>16.09.2026</v>
      </c>
    </row>
    <row r="16" spans="1:18" ht="25.05" customHeight="1" x14ac:dyDescent="0.3">
      <c r="A16" s="2">
        <v>9</v>
      </c>
      <c r="B16" s="3" t="s">
        <v>37</v>
      </c>
      <c r="C16" s="4" t="s">
        <v>35</v>
      </c>
      <c r="D16" s="2">
        <v>1</v>
      </c>
      <c r="E16" s="2">
        <v>1</v>
      </c>
      <c r="F16" s="2" t="s">
        <v>36</v>
      </c>
      <c r="G16" s="5">
        <v>257</v>
      </c>
      <c r="H16" s="6">
        <v>40000</v>
      </c>
      <c r="I16" s="6">
        <f t="shared" si="0"/>
        <v>10280000</v>
      </c>
      <c r="J16" s="6">
        <v>0</v>
      </c>
      <c r="K16" s="7">
        <f>I16-J16</f>
        <v>10280000</v>
      </c>
      <c r="L16" s="3"/>
      <c r="M16" s="3"/>
      <c r="N16" s="14" t="str">
        <f t="shared" si="2"/>
        <v>16-9-10-Я-К</v>
      </c>
      <c r="O16" s="14" t="str">
        <f t="shared" si="3"/>
        <v>Курбонов Равшан</v>
      </c>
      <c r="P16" s="14" t="str">
        <f t="shared" si="4"/>
        <v>Янги Шодиёна</v>
      </c>
      <c r="Q16" s="14" t="str">
        <f t="shared" si="5"/>
        <v>16.09.2026</v>
      </c>
    </row>
    <row r="17" spans="1:17" ht="24" customHeight="1" x14ac:dyDescent="0.3">
      <c r="A17" s="41" t="s">
        <v>38</v>
      </c>
      <c r="B17" s="41"/>
      <c r="C17" s="41"/>
      <c r="D17" s="41"/>
      <c r="E17" s="41"/>
      <c r="F17" s="41"/>
      <c r="G17" s="41"/>
      <c r="H17" s="41"/>
      <c r="I17" s="9">
        <f>SUM(I15:I16)</f>
        <v>23120000</v>
      </c>
      <c r="J17" s="9">
        <f>SUM(J15:J16)</f>
        <v>0</v>
      </c>
      <c r="K17" s="9">
        <f>SUM(K15:K16)</f>
        <v>23120000</v>
      </c>
      <c r="L17" s="8"/>
      <c r="M17" s="8"/>
      <c r="N17" s="14" t="str">
        <f t="shared" si="2"/>
        <v>16-9-10-Я-К</v>
      </c>
      <c r="O17" s="14" t="str">
        <f t="shared" si="3"/>
        <v>Курбонов Равшан</v>
      </c>
      <c r="P17" s="14" t="str">
        <f t="shared" si="4"/>
        <v>Янги Шодиёна</v>
      </c>
      <c r="Q17" s="14" t="str">
        <f t="shared" si="5"/>
        <v>16.09.2026</v>
      </c>
    </row>
    <row r="18" spans="1:17" ht="25.05" customHeight="1" x14ac:dyDescent="0.3">
      <c r="A18" s="2">
        <v>10</v>
      </c>
      <c r="B18" s="3" t="s">
        <v>39</v>
      </c>
      <c r="C18" s="4" t="s">
        <v>40</v>
      </c>
      <c r="D18" s="2"/>
      <c r="E18" s="2"/>
      <c r="F18" s="2" t="s">
        <v>36</v>
      </c>
      <c r="G18" s="5">
        <v>237</v>
      </c>
      <c r="H18" s="6">
        <v>50000</v>
      </c>
      <c r="I18" s="6">
        <f t="shared" si="0"/>
        <v>11850000</v>
      </c>
      <c r="J18" s="6">
        <v>0</v>
      </c>
      <c r="K18" s="7">
        <f t="shared" ref="K18:K23" si="6">I18-J18</f>
        <v>11850000</v>
      </c>
      <c r="L18" s="3"/>
      <c r="M18" s="3"/>
      <c r="N18" s="14" t="str">
        <f t="shared" si="2"/>
        <v>16-9-10-Я-К</v>
      </c>
      <c r="O18" s="14" t="str">
        <f t="shared" si="3"/>
        <v>Курбонов Равшан</v>
      </c>
      <c r="P18" s="14" t="str">
        <f t="shared" si="4"/>
        <v>Янги Шодиёна</v>
      </c>
      <c r="Q18" s="14" t="str">
        <f t="shared" si="5"/>
        <v>16.09.2026</v>
      </c>
    </row>
    <row r="19" spans="1:17" ht="25.05" customHeight="1" x14ac:dyDescent="0.3">
      <c r="A19" s="2">
        <v>11</v>
      </c>
      <c r="B19" s="3" t="s">
        <v>41</v>
      </c>
      <c r="C19" s="4" t="s">
        <v>40</v>
      </c>
      <c r="D19" s="2"/>
      <c r="E19" s="2"/>
      <c r="F19" s="2" t="s">
        <v>36</v>
      </c>
      <c r="G19" s="5">
        <v>2200</v>
      </c>
      <c r="H19" s="6">
        <v>30000</v>
      </c>
      <c r="I19" s="6">
        <f t="shared" si="0"/>
        <v>66000000</v>
      </c>
      <c r="J19" s="6">
        <v>0</v>
      </c>
      <c r="K19" s="7">
        <f t="shared" si="6"/>
        <v>66000000</v>
      </c>
      <c r="L19" s="3"/>
      <c r="M19" s="3"/>
      <c r="N19" s="14" t="str">
        <f t="shared" si="2"/>
        <v>16-9-10-Я-К</v>
      </c>
      <c r="O19" s="14" t="str">
        <f t="shared" si="3"/>
        <v>Курбонов Равшан</v>
      </c>
      <c r="P19" s="14" t="str">
        <f t="shared" si="4"/>
        <v>Янги Шодиёна</v>
      </c>
      <c r="Q19" s="14" t="str">
        <f t="shared" si="5"/>
        <v>16.09.2026</v>
      </c>
    </row>
    <row r="20" spans="1:17" ht="25.05" customHeight="1" x14ac:dyDescent="0.3">
      <c r="A20" s="2">
        <v>12</v>
      </c>
      <c r="B20" s="3" t="s">
        <v>42</v>
      </c>
      <c r="C20" s="4" t="s">
        <v>40</v>
      </c>
      <c r="D20" s="2"/>
      <c r="E20" s="2"/>
      <c r="F20" s="2" t="s">
        <v>36</v>
      </c>
      <c r="G20" s="5">
        <v>60</v>
      </c>
      <c r="H20" s="6">
        <v>40000</v>
      </c>
      <c r="I20" s="6">
        <f t="shared" si="0"/>
        <v>2400000</v>
      </c>
      <c r="J20" s="6">
        <v>0</v>
      </c>
      <c r="K20" s="7">
        <f t="shared" si="6"/>
        <v>2400000</v>
      </c>
      <c r="L20" s="3"/>
      <c r="M20" s="3"/>
      <c r="N20" s="14" t="str">
        <f t="shared" si="2"/>
        <v>16-9-10-Я-К</v>
      </c>
      <c r="O20" s="14" t="str">
        <f t="shared" si="3"/>
        <v>Курбонов Равшан</v>
      </c>
      <c r="P20" s="14" t="str">
        <f t="shared" si="4"/>
        <v>Янги Шодиёна</v>
      </c>
      <c r="Q20" s="14" t="str">
        <f t="shared" si="5"/>
        <v>16.09.2026</v>
      </c>
    </row>
    <row r="21" spans="1:17" ht="31.95" customHeight="1" x14ac:dyDescent="0.3">
      <c r="A21" s="2">
        <v>13</v>
      </c>
      <c r="B21" s="3" t="s">
        <v>43</v>
      </c>
      <c r="C21" s="4" t="s">
        <v>40</v>
      </c>
      <c r="D21" s="2"/>
      <c r="E21" s="2"/>
      <c r="F21" s="2" t="s">
        <v>31</v>
      </c>
      <c r="G21" s="5">
        <v>1</v>
      </c>
      <c r="H21" s="6">
        <v>1500000</v>
      </c>
      <c r="I21" s="6">
        <f t="shared" si="0"/>
        <v>1500000</v>
      </c>
      <c r="J21" s="6">
        <v>0</v>
      </c>
      <c r="K21" s="7">
        <f t="shared" si="6"/>
        <v>1500000</v>
      </c>
      <c r="L21" s="3"/>
      <c r="M21" s="3"/>
      <c r="N21" s="14" t="str">
        <f t="shared" si="2"/>
        <v>16-9-10-Я-К</v>
      </c>
      <c r="O21" s="14" t="str">
        <f t="shared" si="3"/>
        <v>Курбонов Равшан</v>
      </c>
      <c r="P21" s="14" t="str">
        <f t="shared" si="4"/>
        <v>Янги Шодиёна</v>
      </c>
      <c r="Q21" s="14" t="str">
        <f t="shared" si="5"/>
        <v>16.09.2026</v>
      </c>
    </row>
    <row r="22" spans="1:17" ht="25.05" customHeight="1" x14ac:dyDescent="0.3">
      <c r="A22" s="2">
        <v>14</v>
      </c>
      <c r="B22" s="3" t="s">
        <v>44</v>
      </c>
      <c r="C22" s="4" t="s">
        <v>40</v>
      </c>
      <c r="D22" s="2"/>
      <c r="E22" s="2"/>
      <c r="F22" s="2" t="s">
        <v>31</v>
      </c>
      <c r="G22" s="5">
        <v>1</v>
      </c>
      <c r="H22" s="6">
        <v>1000000</v>
      </c>
      <c r="I22" s="6">
        <f t="shared" si="0"/>
        <v>1000000</v>
      </c>
      <c r="J22" s="6">
        <v>0</v>
      </c>
      <c r="K22" s="7">
        <f t="shared" si="6"/>
        <v>1000000</v>
      </c>
      <c r="L22" s="3"/>
      <c r="M22" s="3"/>
      <c r="N22" s="14" t="str">
        <f t="shared" si="2"/>
        <v>16-9-10-Я-К</v>
      </c>
      <c r="O22" s="14" t="str">
        <f t="shared" si="3"/>
        <v>Курбонов Равшан</v>
      </c>
      <c r="P22" s="14" t="str">
        <f t="shared" si="4"/>
        <v>Янги Шодиёна</v>
      </c>
      <c r="Q22" s="14" t="str">
        <f t="shared" si="5"/>
        <v>16.09.2026</v>
      </c>
    </row>
    <row r="23" spans="1:17" ht="25.05" customHeight="1" x14ac:dyDescent="0.3">
      <c r="A23" s="2">
        <v>15</v>
      </c>
      <c r="B23" s="3" t="s">
        <v>45</v>
      </c>
      <c r="C23" s="4" t="s">
        <v>40</v>
      </c>
      <c r="D23" s="2"/>
      <c r="E23" s="2"/>
      <c r="F23" s="2" t="s">
        <v>31</v>
      </c>
      <c r="G23" s="5">
        <v>1</v>
      </c>
      <c r="H23" s="6">
        <v>1000000</v>
      </c>
      <c r="I23" s="6">
        <f t="shared" si="0"/>
        <v>1000000</v>
      </c>
      <c r="J23" s="6">
        <v>0</v>
      </c>
      <c r="K23" s="7">
        <f t="shared" si="6"/>
        <v>1000000</v>
      </c>
      <c r="L23" s="3"/>
      <c r="M23" s="3"/>
      <c r="N23" s="14" t="str">
        <f t="shared" si="2"/>
        <v>16-9-10-Я-К</v>
      </c>
      <c r="O23" s="14" t="str">
        <f t="shared" si="3"/>
        <v>Курбонов Равшан</v>
      </c>
      <c r="P23" s="14" t="str">
        <f t="shared" si="4"/>
        <v>Янги Шодиёна</v>
      </c>
      <c r="Q23" s="14" t="str">
        <f t="shared" si="5"/>
        <v>16.09.2026</v>
      </c>
    </row>
    <row r="24" spans="1:17" ht="25.05" customHeight="1" x14ac:dyDescent="0.3">
      <c r="A24" s="2">
        <v>16</v>
      </c>
      <c r="B24" s="3" t="s">
        <v>46</v>
      </c>
      <c r="C24" s="4" t="s">
        <v>40</v>
      </c>
      <c r="D24" s="2"/>
      <c r="E24" s="2"/>
      <c r="F24" s="2" t="s">
        <v>47</v>
      </c>
      <c r="G24" s="5">
        <v>0</v>
      </c>
      <c r="H24" s="6">
        <v>0</v>
      </c>
      <c r="I24" s="6">
        <f t="shared" si="0"/>
        <v>0</v>
      </c>
      <c r="J24" s="6">
        <v>35220000</v>
      </c>
      <c r="K24" s="7">
        <f>I24-J24</f>
        <v>-35220000</v>
      </c>
      <c r="L24" s="3"/>
      <c r="M24" s="3"/>
      <c r="N24" s="14" t="str">
        <f t="shared" si="2"/>
        <v>16-9-10-Я-К</v>
      </c>
      <c r="O24" s="14" t="str">
        <f t="shared" si="3"/>
        <v>Курбонов Равшан</v>
      </c>
      <c r="P24" s="14" t="str">
        <f t="shared" si="4"/>
        <v>Янги Шодиёна</v>
      </c>
      <c r="Q24" s="14" t="str">
        <f t="shared" si="5"/>
        <v>16.09.2026</v>
      </c>
    </row>
    <row r="25" spans="1:17" ht="24" customHeight="1" x14ac:dyDescent="0.3">
      <c r="A25" s="41" t="s">
        <v>48</v>
      </c>
      <c r="B25" s="41"/>
      <c r="C25" s="41"/>
      <c r="D25" s="41"/>
      <c r="E25" s="41"/>
      <c r="F25" s="41"/>
      <c r="G25" s="41"/>
      <c r="H25" s="41"/>
      <c r="I25" s="9">
        <f>SUM(I7:I24)</f>
        <v>162650000</v>
      </c>
      <c r="J25" s="9">
        <f>SUM(J18:J24)</f>
        <v>35220000</v>
      </c>
      <c r="K25" s="9">
        <f>SUM(K18:K24)</f>
        <v>48530000</v>
      </c>
      <c r="L25" s="8"/>
      <c r="M25" s="8"/>
      <c r="N25" s="14" t="str">
        <f t="shared" si="2"/>
        <v>16-9-10-Я-К</v>
      </c>
      <c r="O25" s="14" t="str">
        <f t="shared" si="3"/>
        <v>Курбонов Равшан</v>
      </c>
      <c r="P25" s="14" t="str">
        <f t="shared" si="4"/>
        <v>Янги Шодиёна</v>
      </c>
      <c r="Q25" s="14" t="str">
        <f t="shared" si="5"/>
        <v>16.09.2026</v>
      </c>
    </row>
    <row r="26" spans="1:17" x14ac:dyDescent="0.3">
      <c r="N26" s="14" t="str">
        <f t="shared" si="2"/>
        <v>16-9-10-Я-К</v>
      </c>
      <c r="O26" s="14" t="str">
        <f t="shared" si="3"/>
        <v>Курбонов Равшан</v>
      </c>
      <c r="P26" s="14" t="str">
        <f t="shared" si="4"/>
        <v>Янги Шодиёна</v>
      </c>
      <c r="Q26" s="14" t="str">
        <f t="shared" si="5"/>
        <v>16.09.2026</v>
      </c>
    </row>
    <row r="27" spans="1:17" ht="21.6" customHeight="1" x14ac:dyDescent="0.3">
      <c r="A27" s="39" t="s">
        <v>49</v>
      </c>
      <c r="B27" s="40"/>
      <c r="C27" s="40"/>
      <c r="D27" s="40"/>
      <c r="E27" s="40"/>
      <c r="F27" s="40"/>
      <c r="G27" s="40"/>
      <c r="H27" s="40"/>
      <c r="I27" s="11">
        <f>I14+I17+I25</f>
        <v>202100000</v>
      </c>
      <c r="J27" s="11">
        <f>J14+J17+J25</f>
        <v>45220000</v>
      </c>
      <c r="K27" s="12">
        <f>K14+K17+K25</f>
        <v>77980000</v>
      </c>
      <c r="L27" s="10"/>
      <c r="M27" s="10"/>
      <c r="N27" s="14" t="str">
        <f t="shared" si="2"/>
        <v>16-9-10-Я-К</v>
      </c>
      <c r="O27" s="14" t="str">
        <f t="shared" si="3"/>
        <v>Курбонов Равшан</v>
      </c>
      <c r="P27" s="14" t="str">
        <f t="shared" si="4"/>
        <v>Янги Шодиёна</v>
      </c>
      <c r="Q27" s="14" t="str">
        <f t="shared" si="5"/>
        <v>16.09.2026</v>
      </c>
    </row>
    <row r="28" spans="1:17" x14ac:dyDescent="0.3">
      <c r="N28" s="14" t="str">
        <f t="shared" si="2"/>
        <v>16-9-10-Я-К</v>
      </c>
      <c r="O28" s="14" t="str">
        <f t="shared" si="3"/>
        <v>Курбонов Равшан</v>
      </c>
      <c r="P28" s="14" t="str">
        <f t="shared" si="4"/>
        <v>Янги Шодиёна</v>
      </c>
      <c r="Q28" s="14" t="str">
        <f t="shared" si="5"/>
        <v>16.09.2026</v>
      </c>
    </row>
    <row r="29" spans="1:17" ht="18" x14ac:dyDescent="0.3">
      <c r="A29" s="20" t="s">
        <v>53</v>
      </c>
      <c r="B29" s="32" t="s">
        <v>54</v>
      </c>
      <c r="C29" s="21"/>
      <c r="D29" s="35" t="s">
        <v>55</v>
      </c>
      <c r="E29" s="35"/>
      <c r="F29" s="36" t="s">
        <v>56</v>
      </c>
      <c r="G29" s="37"/>
      <c r="H29" s="37"/>
      <c r="I29" s="38"/>
      <c r="J29" s="16"/>
      <c r="K29" s="16"/>
      <c r="L29" s="16"/>
      <c r="M29" s="15"/>
      <c r="N29" s="14" t="str">
        <f t="shared" si="2"/>
        <v>16-9-10-Я-К</v>
      </c>
      <c r="O29" s="14" t="str">
        <f t="shared" si="3"/>
        <v>Курбонов Равшан</v>
      </c>
      <c r="P29" s="14" t="str">
        <f t="shared" si="4"/>
        <v>Янги Шодиёна</v>
      </c>
      <c r="Q29" s="14" t="str">
        <f t="shared" si="5"/>
        <v>16.09.2026</v>
      </c>
    </row>
    <row r="30" spans="1:17" x14ac:dyDescent="0.3">
      <c r="A30" s="16"/>
      <c r="B30" s="17"/>
      <c r="C30" s="17"/>
      <c r="D30" s="18"/>
      <c r="E30" s="16"/>
      <c r="F30" s="16"/>
      <c r="G30" s="17"/>
      <c r="H30" s="16"/>
      <c r="I30" s="16"/>
      <c r="J30" s="16"/>
      <c r="K30" s="16"/>
      <c r="L30" s="16"/>
      <c r="N30" s="14" t="str">
        <f t="shared" si="2"/>
        <v>16-9-10-Я-К</v>
      </c>
      <c r="O30" s="14" t="str">
        <f t="shared" si="3"/>
        <v>Курбонов Равшан</v>
      </c>
      <c r="P30" s="14" t="str">
        <f t="shared" si="4"/>
        <v>Янги Шодиёна</v>
      </c>
      <c r="Q30" s="14" t="str">
        <f t="shared" si="5"/>
        <v>16.09.2026</v>
      </c>
    </row>
    <row r="31" spans="1:17" x14ac:dyDescent="0.3">
      <c r="A31" s="16"/>
      <c r="B31" s="17"/>
      <c r="C31" s="17"/>
      <c r="D31" s="18"/>
      <c r="E31" s="16"/>
      <c r="F31" s="16"/>
      <c r="G31" s="17"/>
      <c r="H31" s="16"/>
      <c r="I31" s="16"/>
      <c r="J31" s="16"/>
      <c r="K31" s="16"/>
      <c r="L31" s="16"/>
      <c r="N31" s="14" t="str">
        <f t="shared" si="2"/>
        <v>16-9-10-Я-К</v>
      </c>
      <c r="O31" s="14" t="str">
        <f t="shared" si="3"/>
        <v>Курбонов Равшан</v>
      </c>
      <c r="P31" s="14" t="str">
        <f t="shared" si="4"/>
        <v>Янги Шодиёна</v>
      </c>
      <c r="Q31" s="14" t="str">
        <f t="shared" si="5"/>
        <v>16.09.2026</v>
      </c>
    </row>
    <row r="32" spans="1:17" ht="21" x14ac:dyDescent="0.3">
      <c r="A32" s="19" t="s">
        <v>57</v>
      </c>
      <c r="B32" s="32" t="s">
        <v>5</v>
      </c>
      <c r="C32" s="21"/>
      <c r="D32" s="35" t="s">
        <v>58</v>
      </c>
      <c r="E32" s="35"/>
      <c r="F32" s="36" t="s">
        <v>59</v>
      </c>
      <c r="G32" s="37"/>
      <c r="H32" s="37"/>
      <c r="I32" s="38"/>
      <c r="J32" s="16"/>
      <c r="K32" s="34" t="s">
        <v>60</v>
      </c>
      <c r="L32" s="33" t="s">
        <v>61</v>
      </c>
      <c r="N32" s="14" t="str">
        <f t="shared" si="2"/>
        <v>16-9-10-Я-К</v>
      </c>
      <c r="O32" s="14" t="str">
        <f t="shared" si="3"/>
        <v>Курбонов Равшан</v>
      </c>
      <c r="P32" s="14" t="str">
        <f t="shared" si="4"/>
        <v>Янги Шодиёна</v>
      </c>
      <c r="Q32" s="14" t="str">
        <f t="shared" si="5"/>
        <v>16.09.2026</v>
      </c>
    </row>
    <row r="33" spans="1:17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N33" s="14" t="str">
        <f t="shared" si="2"/>
        <v>16-9-10-Я-К</v>
      </c>
      <c r="O33" s="14" t="str">
        <f t="shared" si="3"/>
        <v>Курбонов Равшан</v>
      </c>
      <c r="P33" s="14" t="str">
        <f t="shared" si="4"/>
        <v>Янги Шодиёна</v>
      </c>
      <c r="Q33" s="14" t="str">
        <f t="shared" si="5"/>
        <v>16.09.2026</v>
      </c>
    </row>
    <row r="34" spans="1:17" ht="18" x14ac:dyDescent="0.35">
      <c r="A34" s="22" t="s">
        <v>62</v>
      </c>
      <c r="B34" s="23" t="s">
        <v>63</v>
      </c>
      <c r="C34" s="23"/>
      <c r="D34" s="23"/>
      <c r="E34" s="23"/>
      <c r="F34" s="23"/>
      <c r="G34" s="23"/>
      <c r="H34" s="24"/>
      <c r="I34" s="23"/>
      <c r="J34" s="25"/>
      <c r="K34" s="25"/>
      <c r="L34" s="25"/>
      <c r="M34" s="26"/>
      <c r="N34" s="14" t="str">
        <f t="shared" si="2"/>
        <v>16-9-10-Я-К</v>
      </c>
      <c r="O34" s="14" t="str">
        <f t="shared" si="3"/>
        <v>Курбонов Равшан</v>
      </c>
      <c r="P34" s="14" t="str">
        <f t="shared" si="4"/>
        <v>Янги Шодиёна</v>
      </c>
      <c r="Q34" s="14" t="str">
        <f t="shared" si="5"/>
        <v>16.09.2026</v>
      </c>
    </row>
    <row r="35" spans="1:17" x14ac:dyDescent="0.3">
      <c r="A35" s="27"/>
      <c r="B35" s="28" t="s">
        <v>64</v>
      </c>
      <c r="C35" s="29"/>
      <c r="D35" s="29"/>
      <c r="E35" s="29"/>
      <c r="F35" s="29"/>
      <c r="G35" s="29"/>
      <c r="H35" s="30"/>
      <c r="I35" s="29"/>
      <c r="J35" s="29"/>
      <c r="K35" s="29"/>
      <c r="L35" s="29"/>
      <c r="M35" s="31"/>
      <c r="N35" s="14" t="str">
        <f t="shared" si="2"/>
        <v>16-9-10-Я-К</v>
      </c>
      <c r="O35" s="14" t="str">
        <f t="shared" si="3"/>
        <v>Курбонов Равшан</v>
      </c>
      <c r="P35" s="14" t="str">
        <f t="shared" si="4"/>
        <v>Янги Шодиёна</v>
      </c>
      <c r="Q35" s="14" t="str">
        <f t="shared" si="5"/>
        <v>16.09.2026</v>
      </c>
    </row>
    <row r="36" spans="1:17" x14ac:dyDescent="0.3">
      <c r="Q36" s="14"/>
    </row>
    <row r="37" spans="1:17" x14ac:dyDescent="0.3">
      <c r="Q37" s="14"/>
    </row>
    <row r="38" spans="1:17" x14ac:dyDescent="0.3">
      <c r="Q38" s="14"/>
    </row>
    <row r="39" spans="1:17" x14ac:dyDescent="0.3">
      <c r="Q39" s="14"/>
    </row>
    <row r="40" spans="1:17" x14ac:dyDescent="0.3">
      <c r="Q40" s="14"/>
    </row>
    <row r="41" spans="1:17" x14ac:dyDescent="0.3">
      <c r="Q41" s="14"/>
    </row>
    <row r="42" spans="1:17" x14ac:dyDescent="0.3">
      <c r="Q42" s="14"/>
    </row>
    <row r="43" spans="1:17" x14ac:dyDescent="0.3">
      <c r="Q43" s="14"/>
    </row>
    <row r="44" spans="1:17" x14ac:dyDescent="0.3">
      <c r="Q44" s="14"/>
    </row>
    <row r="45" spans="1:17" x14ac:dyDescent="0.3">
      <c r="Q45" s="14"/>
    </row>
    <row r="46" spans="1:17" x14ac:dyDescent="0.3">
      <c r="Q46" s="14"/>
    </row>
    <row r="47" spans="1:17" x14ac:dyDescent="0.3">
      <c r="Q47" s="14"/>
    </row>
    <row r="48" spans="1:17" x14ac:dyDescent="0.3">
      <c r="Q48" s="14"/>
    </row>
  </sheetData>
  <mergeCells count="20">
    <mergeCell ref="A1:B1"/>
    <mergeCell ref="A2:B2"/>
    <mergeCell ref="A3:B3"/>
    <mergeCell ref="A4:B4"/>
    <mergeCell ref="L1:L2"/>
    <mergeCell ref="C1:K1"/>
    <mergeCell ref="C2:K2"/>
    <mergeCell ref="C3:K3"/>
    <mergeCell ref="C4:K4"/>
    <mergeCell ref="A14:H14"/>
    <mergeCell ref="A17:H17"/>
    <mergeCell ref="A25:H25"/>
    <mergeCell ref="A5:B5"/>
    <mergeCell ref="L3:L5"/>
    <mergeCell ref="C5:K5"/>
    <mergeCell ref="D29:E29"/>
    <mergeCell ref="D32:E32"/>
    <mergeCell ref="F29:I29"/>
    <mergeCell ref="F32:I32"/>
    <mergeCell ref="A27:H27"/>
  </mergeCells>
  <conditionalFormatting sqref="K7:K14 K17 K25:K27">
    <cfRule type="cellIs" dxfId="2" priority="3" operator="lessThan">
      <formula>0</formula>
    </cfRule>
  </conditionalFormatting>
  <conditionalFormatting sqref="K15:K16">
    <cfRule type="cellIs" dxfId="1" priority="2" operator="lessThan">
      <formula>0</formula>
    </cfRule>
  </conditionalFormatting>
  <conditionalFormatting sqref="K18:K24">
    <cfRule type="cellIs" dxfId="0" priority="1" operator="lessThan">
      <formula>0</formula>
    </cfRule>
  </conditionalFormatting>
  <dataValidations count="1">
    <dataValidation type="list" allowBlank="1" sqref="C5" xr:uid="{00000000-0002-0000-0000-000000000000}">
      <formula1>"Нақт,Безналичный"</formula1>
    </dataValidation>
  </dataValidations>
  <pageMargins left="0.2" right="0.2" top="0.35" bottom="0.35" header="0.15" footer="0.15"/>
  <pageSetup paperSize="9" fitToHeight="0" orientation="landscape" r:id="rId1"/>
  <headerFooter>
    <oddFooter>&amp;C&amp;"Aptos"&amp;8 Заявка 16-9-10-Я-К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Kassa-b-blok-2</cp:lastModifiedBy>
  <dcterms:created xsi:type="dcterms:W3CDTF">2026-09-18T09:25:03Z</dcterms:created>
  <dcterms:modified xsi:type="dcterms:W3CDTF">2026-09-24T04:09:45Z</dcterms:modified>
</cp:coreProperties>
</file>